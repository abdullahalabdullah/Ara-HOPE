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1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bdullahalabdullah/Desktop/Masters/docs/"/>
    </mc:Choice>
  </mc:AlternateContent>
  <xr:revisionPtr revIDLastSave="0" documentId="13_ncr:1_{C0048DFA-AE08-7246-AE27-FBB78EA3AB6C}" xr6:coauthVersionLast="47" xr6:coauthVersionMax="47" xr10:uidLastSave="{00000000-0000-0000-0000-000000000000}"/>
  <bookViews>
    <workbookView xWindow="0" yWindow="780" windowWidth="34200" windowHeight="21360" xr2:uid="{00000000-000D-0000-FFFF-FFFF00000000}"/>
  </bookViews>
  <sheets>
    <sheet name="Overall" sheetId="8" r:id="rId1"/>
    <sheet name="Annotator 1" sheetId="2" r:id="rId2"/>
    <sheet name="Annotator 2" sheetId="6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206" i="2" l="1"/>
  <c r="AI205" i="2"/>
  <c r="AI204" i="2"/>
  <c r="AI203" i="2"/>
  <c r="AI202" i="2"/>
  <c r="AI201" i="2"/>
  <c r="AI200" i="2"/>
  <c r="AI199" i="2"/>
  <c r="AI198" i="2"/>
  <c r="AI197" i="2"/>
  <c r="AI196" i="2"/>
  <c r="AI195" i="2"/>
  <c r="AI194" i="2"/>
  <c r="AI193" i="2"/>
  <c r="AI192" i="2"/>
  <c r="AI191" i="2"/>
  <c r="AI190" i="2"/>
  <c r="AI189" i="2"/>
  <c r="AI188" i="2"/>
  <c r="AI187" i="2"/>
  <c r="AI186" i="2"/>
  <c r="AI185" i="2"/>
  <c r="AI184" i="2"/>
  <c r="AI183" i="2"/>
  <c r="AI182" i="2"/>
  <c r="AI181" i="2"/>
  <c r="AI180" i="2"/>
  <c r="AI179" i="2"/>
  <c r="AI178" i="2"/>
  <c r="AI177" i="2"/>
  <c r="AI176" i="2"/>
  <c r="AI175" i="2"/>
  <c r="AI174" i="2"/>
  <c r="AI173" i="2"/>
  <c r="AI172" i="2"/>
  <c r="AI171" i="2"/>
  <c r="AI170" i="2"/>
  <c r="AI169" i="2"/>
  <c r="AI168" i="2"/>
  <c r="AI167" i="2"/>
  <c r="AI166" i="2"/>
  <c r="AI165" i="2"/>
  <c r="AI164" i="2"/>
  <c r="AI163" i="2"/>
  <c r="AI162" i="2"/>
  <c r="AI161" i="2"/>
  <c r="AI160" i="2"/>
  <c r="AI159" i="2"/>
  <c r="AI158" i="2"/>
  <c r="AI157" i="2"/>
  <c r="AI156" i="2"/>
  <c r="AI155" i="2"/>
  <c r="AI154" i="2"/>
  <c r="AI153" i="2"/>
  <c r="AI152" i="2"/>
  <c r="AI151" i="2"/>
  <c r="AI150" i="2"/>
  <c r="AI149" i="2"/>
  <c r="AI148" i="2"/>
  <c r="AI147" i="2"/>
  <c r="AI146" i="2"/>
  <c r="AI145" i="2"/>
  <c r="AI144" i="2"/>
  <c r="AI143" i="2"/>
  <c r="AI142" i="2"/>
  <c r="AI141" i="2"/>
  <c r="AI140" i="2"/>
  <c r="AI139" i="2"/>
  <c r="AI138" i="2"/>
  <c r="AI137" i="2"/>
  <c r="AI136" i="2"/>
  <c r="AI135" i="2"/>
  <c r="AI134" i="2"/>
  <c r="AI133" i="2"/>
  <c r="AI132" i="2"/>
  <c r="AI131" i="2"/>
  <c r="AI130" i="2"/>
  <c r="AI129" i="2"/>
  <c r="AI128" i="2"/>
  <c r="AI127" i="2"/>
  <c r="AI126" i="2"/>
  <c r="AI125" i="2"/>
  <c r="AI124" i="2"/>
  <c r="AI123" i="2"/>
  <c r="AI122" i="2"/>
  <c r="AI121" i="2"/>
  <c r="AI120" i="2"/>
  <c r="AI119" i="2"/>
  <c r="AI118" i="2"/>
  <c r="AI117" i="2"/>
  <c r="AI116" i="2"/>
  <c r="AI115" i="2"/>
  <c r="AI114" i="2"/>
  <c r="AI113" i="2"/>
  <c r="AI112" i="2"/>
  <c r="AI111" i="2"/>
  <c r="AI110" i="2"/>
  <c r="AI109" i="2"/>
  <c r="AI108" i="2"/>
  <c r="AI107" i="2"/>
  <c r="AI106" i="2"/>
  <c r="AI105" i="2"/>
  <c r="AI104" i="2"/>
  <c r="AI103" i="2"/>
  <c r="AI102" i="2"/>
  <c r="AI101" i="2"/>
  <c r="AI100" i="2"/>
  <c r="AI99" i="2"/>
  <c r="AI98" i="2"/>
  <c r="AI97" i="2"/>
  <c r="AI96" i="2"/>
  <c r="AI95" i="2"/>
  <c r="AI94" i="2"/>
  <c r="AI93" i="2"/>
  <c r="AI92" i="2"/>
  <c r="AI91" i="2"/>
  <c r="AI90" i="2"/>
  <c r="AI89" i="2"/>
  <c r="AI88" i="2"/>
  <c r="AI87" i="2"/>
  <c r="AI86" i="2"/>
  <c r="AI85" i="2"/>
  <c r="AI84" i="2"/>
  <c r="AI83" i="2"/>
  <c r="AI82" i="2"/>
  <c r="AI81" i="2"/>
  <c r="AI80" i="2"/>
  <c r="AI79" i="2"/>
  <c r="AI78" i="2"/>
  <c r="AI77" i="2"/>
  <c r="AI76" i="2"/>
  <c r="AI75" i="2"/>
  <c r="AI74" i="2"/>
  <c r="AI73" i="2"/>
  <c r="AI72" i="2"/>
  <c r="AI71" i="2"/>
  <c r="AI70" i="2"/>
  <c r="AI69" i="2"/>
  <c r="AI68" i="2"/>
  <c r="AI67" i="2"/>
  <c r="AI66" i="2"/>
  <c r="AI65" i="2"/>
  <c r="AI64" i="2"/>
  <c r="AI63" i="2"/>
  <c r="AI62" i="2"/>
  <c r="AI61" i="2"/>
  <c r="AI60" i="2"/>
  <c r="AI59" i="2"/>
  <c r="AI58" i="2"/>
  <c r="AI57" i="2"/>
  <c r="AI56" i="2"/>
  <c r="AI55" i="2"/>
  <c r="AI54" i="2"/>
  <c r="AI53" i="2"/>
  <c r="AI52" i="2"/>
  <c r="AI51" i="2"/>
  <c r="AI50" i="2"/>
  <c r="AI49" i="2"/>
  <c r="AI48" i="2"/>
  <c r="AI47" i="2"/>
  <c r="AI46" i="2"/>
  <c r="AI45" i="2"/>
  <c r="AI44" i="2"/>
  <c r="AI43" i="2"/>
  <c r="AI42" i="2"/>
  <c r="AI41" i="2"/>
  <c r="AI40" i="2"/>
  <c r="AI39" i="2"/>
  <c r="AI38" i="2"/>
  <c r="AI37" i="2"/>
  <c r="AI36" i="2"/>
  <c r="AI35" i="2"/>
  <c r="AI34" i="2"/>
  <c r="AI33" i="2"/>
  <c r="AI32" i="2"/>
  <c r="AI31" i="2"/>
  <c r="AI30" i="2"/>
  <c r="AI29" i="2"/>
  <c r="AI28" i="2"/>
  <c r="AI27" i="2"/>
  <c r="AI26" i="2"/>
  <c r="AI25" i="2"/>
  <c r="AI24" i="2"/>
  <c r="AI23" i="2"/>
  <c r="AI22" i="2"/>
  <c r="AI21" i="2"/>
  <c r="AI20" i="2"/>
  <c r="AI19" i="2"/>
  <c r="AI18" i="2"/>
  <c r="AI17" i="2"/>
  <c r="AI16" i="2"/>
  <c r="AI15" i="2"/>
  <c r="AI14" i="2"/>
  <c r="AI13" i="2"/>
  <c r="AI12" i="2"/>
  <c r="AI11" i="2"/>
  <c r="AI10" i="2"/>
  <c r="AI9" i="2"/>
  <c r="AI8" i="2"/>
  <c r="AI7" i="2"/>
  <c r="AI6" i="2"/>
  <c r="AI5" i="2"/>
  <c r="AI4" i="2"/>
  <c r="AI3" i="2"/>
  <c r="AI2" i="2"/>
  <c r="AH206" i="2"/>
  <c r="AH205" i="2"/>
  <c r="AH204" i="2"/>
  <c r="AH203" i="2"/>
  <c r="AH202" i="2"/>
  <c r="AH201" i="2"/>
  <c r="AH200" i="2"/>
  <c r="AH199" i="2"/>
  <c r="AH198" i="2"/>
  <c r="AH197" i="2"/>
  <c r="AH196" i="2"/>
  <c r="AH195" i="2"/>
  <c r="AH194" i="2"/>
  <c r="AH193" i="2"/>
  <c r="AH192" i="2"/>
  <c r="AH191" i="2"/>
  <c r="AH190" i="2"/>
  <c r="AH189" i="2"/>
  <c r="AH188" i="2"/>
  <c r="AH187" i="2"/>
  <c r="AH186" i="2"/>
  <c r="AH185" i="2"/>
  <c r="AH184" i="2"/>
  <c r="AH183" i="2"/>
  <c r="AH182" i="2"/>
  <c r="AH181" i="2"/>
  <c r="AH180" i="2"/>
  <c r="AH179" i="2"/>
  <c r="AH178" i="2"/>
  <c r="AH177" i="2"/>
  <c r="AH176" i="2"/>
  <c r="AH175" i="2"/>
  <c r="AH174" i="2"/>
  <c r="AH173" i="2"/>
  <c r="AH172" i="2"/>
  <c r="AH171" i="2"/>
  <c r="AH170" i="2"/>
  <c r="AH169" i="2"/>
  <c r="AH168" i="2"/>
  <c r="AH167" i="2"/>
  <c r="AH166" i="2"/>
  <c r="AH165" i="2"/>
  <c r="AH164" i="2"/>
  <c r="AH163" i="2"/>
  <c r="AH162" i="2"/>
  <c r="AH161" i="2"/>
  <c r="AH160" i="2"/>
  <c r="AH159" i="2"/>
  <c r="AH158" i="2"/>
  <c r="AH157" i="2"/>
  <c r="AH156" i="2"/>
  <c r="AH155" i="2"/>
  <c r="AH154" i="2"/>
  <c r="AH153" i="2"/>
  <c r="AH152" i="2"/>
  <c r="AH151" i="2"/>
  <c r="AH150" i="2"/>
  <c r="AH149" i="2"/>
  <c r="AH148" i="2"/>
  <c r="AH147" i="2"/>
  <c r="AH146" i="2"/>
  <c r="AH145" i="2"/>
  <c r="AH144" i="2"/>
  <c r="AH143" i="2"/>
  <c r="AH142" i="2"/>
  <c r="AH141" i="2"/>
  <c r="AH140" i="2"/>
  <c r="AH139" i="2"/>
  <c r="AH138" i="2"/>
  <c r="AH137" i="2"/>
  <c r="AH136" i="2"/>
  <c r="AH135" i="2"/>
  <c r="AH134" i="2"/>
  <c r="AH133" i="2"/>
  <c r="AH132" i="2"/>
  <c r="AH131" i="2"/>
  <c r="AH130" i="2"/>
  <c r="AH129" i="2"/>
  <c r="AH128" i="2"/>
  <c r="AH127" i="2"/>
  <c r="AH126" i="2"/>
  <c r="AH125" i="2"/>
  <c r="AH124" i="2"/>
  <c r="AH123" i="2"/>
  <c r="AH122" i="2"/>
  <c r="AH121" i="2"/>
  <c r="AH120" i="2"/>
  <c r="AH119" i="2"/>
  <c r="AH118" i="2"/>
  <c r="AH117" i="2"/>
  <c r="AH116" i="2"/>
  <c r="AH115" i="2"/>
  <c r="AH114" i="2"/>
  <c r="AH113" i="2"/>
  <c r="AH112" i="2"/>
  <c r="AH111" i="2"/>
  <c r="AH110" i="2"/>
  <c r="AH109" i="2"/>
  <c r="AH108" i="2"/>
  <c r="AH107" i="2"/>
  <c r="AH106" i="2"/>
  <c r="AH105" i="2"/>
  <c r="AH104" i="2"/>
  <c r="AH103" i="2"/>
  <c r="AH102" i="2"/>
  <c r="AH101" i="2"/>
  <c r="AH100" i="2"/>
  <c r="AH99" i="2"/>
  <c r="AH98" i="2"/>
  <c r="AH97" i="2"/>
  <c r="AH96" i="2"/>
  <c r="AH95" i="2"/>
  <c r="AH94" i="2"/>
  <c r="AH93" i="2"/>
  <c r="AH92" i="2"/>
  <c r="AH91" i="2"/>
  <c r="AH90" i="2"/>
  <c r="AH89" i="2"/>
  <c r="AH88" i="2"/>
  <c r="AH87" i="2"/>
  <c r="AH86" i="2"/>
  <c r="AH85" i="2"/>
  <c r="AH84" i="2"/>
  <c r="AH83" i="2"/>
  <c r="AH82" i="2"/>
  <c r="AH81" i="2"/>
  <c r="AH80" i="2"/>
  <c r="AH79" i="2"/>
  <c r="AH78" i="2"/>
  <c r="AH77" i="2"/>
  <c r="AH76" i="2"/>
  <c r="AH75" i="2"/>
  <c r="AH74" i="2"/>
  <c r="AH73" i="2"/>
  <c r="AH72" i="2"/>
  <c r="AH71" i="2"/>
  <c r="AH70" i="2"/>
  <c r="AH69" i="2"/>
  <c r="AH68" i="2"/>
  <c r="AH67" i="2"/>
  <c r="AH66" i="2"/>
  <c r="AH65" i="2"/>
  <c r="AH64" i="2"/>
  <c r="AH63" i="2"/>
  <c r="AH62" i="2"/>
  <c r="AH61" i="2"/>
  <c r="AH60" i="2"/>
  <c r="AH59" i="2"/>
  <c r="AH58" i="2"/>
  <c r="AH57" i="2"/>
  <c r="AH56" i="2"/>
  <c r="AH55" i="2"/>
  <c r="AH54" i="2"/>
  <c r="AH53" i="2"/>
  <c r="AH52" i="2"/>
  <c r="AH51" i="2"/>
  <c r="AH50" i="2"/>
  <c r="AH49" i="2"/>
  <c r="AH48" i="2"/>
  <c r="AH47" i="2"/>
  <c r="AH46" i="2"/>
  <c r="AH45" i="2"/>
  <c r="AH44" i="2"/>
  <c r="AH43" i="2"/>
  <c r="AH42" i="2"/>
  <c r="AH41" i="2"/>
  <c r="AH40" i="2"/>
  <c r="AH39" i="2"/>
  <c r="AH38" i="2"/>
  <c r="AH37" i="2"/>
  <c r="AH36" i="2"/>
  <c r="AH35" i="2"/>
  <c r="AH34" i="2"/>
  <c r="AH33" i="2"/>
  <c r="AH32" i="2"/>
  <c r="AH31" i="2"/>
  <c r="AH30" i="2"/>
  <c r="AH29" i="2"/>
  <c r="AH28" i="2"/>
  <c r="AH27" i="2"/>
  <c r="AH26" i="2"/>
  <c r="AH25" i="2"/>
  <c r="AH24" i="2"/>
  <c r="AH23" i="2"/>
  <c r="AH22" i="2"/>
  <c r="AH21" i="2"/>
  <c r="AH20" i="2"/>
  <c r="AH19" i="2"/>
  <c r="AH18" i="2"/>
  <c r="AH17" i="2"/>
  <c r="AH16" i="2"/>
  <c r="AH15" i="2"/>
  <c r="AH14" i="2"/>
  <c r="AH13" i="2"/>
  <c r="AH12" i="2"/>
  <c r="AH11" i="2"/>
  <c r="AH10" i="2"/>
  <c r="AH9" i="2"/>
  <c r="AH8" i="2"/>
  <c r="AH7" i="2"/>
  <c r="AH6" i="2"/>
  <c r="AH5" i="2"/>
  <c r="AH4" i="2"/>
  <c r="AH3" i="2"/>
  <c r="AH2" i="2"/>
  <c r="AG206" i="2"/>
  <c r="AG205" i="2"/>
  <c r="AG204" i="2"/>
  <c r="AG203" i="2"/>
  <c r="AG202" i="2"/>
  <c r="AG201" i="2"/>
  <c r="AG200" i="2"/>
  <c r="AG199" i="2"/>
  <c r="AG198" i="2"/>
  <c r="AG197" i="2"/>
  <c r="AG196" i="2"/>
  <c r="AG195" i="2"/>
  <c r="AG194" i="2"/>
  <c r="AG193" i="2"/>
  <c r="AG192" i="2"/>
  <c r="AG191" i="2"/>
  <c r="AG190" i="2"/>
  <c r="AG189" i="2"/>
  <c r="AG188" i="2"/>
  <c r="AG187" i="2"/>
  <c r="AG186" i="2"/>
  <c r="AG185" i="2"/>
  <c r="AG184" i="2"/>
  <c r="AG183" i="2"/>
  <c r="AG182" i="2"/>
  <c r="AG181" i="2"/>
  <c r="AG180" i="2"/>
  <c r="AG179" i="2"/>
  <c r="AG178" i="2"/>
  <c r="AG177" i="2"/>
  <c r="AG176" i="2"/>
  <c r="AG175" i="2"/>
  <c r="AG174" i="2"/>
  <c r="AG173" i="2"/>
  <c r="AG172" i="2"/>
  <c r="AG171" i="2"/>
  <c r="AG170" i="2"/>
  <c r="AG169" i="2"/>
  <c r="AG168" i="2"/>
  <c r="AG167" i="2"/>
  <c r="AG166" i="2"/>
  <c r="AG165" i="2"/>
  <c r="AG164" i="2"/>
  <c r="AG163" i="2"/>
  <c r="AG162" i="2"/>
  <c r="AG161" i="2"/>
  <c r="AG160" i="2"/>
  <c r="AG159" i="2"/>
  <c r="AG158" i="2"/>
  <c r="AG157" i="2"/>
  <c r="AG156" i="2"/>
  <c r="AG155" i="2"/>
  <c r="AG154" i="2"/>
  <c r="AG153" i="2"/>
  <c r="AG152" i="2"/>
  <c r="AG151" i="2"/>
  <c r="AG150" i="2"/>
  <c r="AG149" i="2"/>
  <c r="AG148" i="2"/>
  <c r="AG147" i="2"/>
  <c r="AG146" i="2"/>
  <c r="AG145" i="2"/>
  <c r="AG144" i="2"/>
  <c r="AG143" i="2"/>
  <c r="AG142" i="2"/>
  <c r="AG141" i="2"/>
  <c r="AG140" i="2"/>
  <c r="AG139" i="2"/>
  <c r="AG138" i="2"/>
  <c r="AG137" i="2"/>
  <c r="AG136" i="2"/>
  <c r="AG135" i="2"/>
  <c r="AG134" i="2"/>
  <c r="AG133" i="2"/>
  <c r="AG132" i="2"/>
  <c r="AG131" i="2"/>
  <c r="AG130" i="2"/>
  <c r="AG129" i="2"/>
  <c r="AG128" i="2"/>
  <c r="AG127" i="2"/>
  <c r="AG126" i="2"/>
  <c r="AG125" i="2"/>
  <c r="AG124" i="2"/>
  <c r="AG123" i="2"/>
  <c r="AG122" i="2"/>
  <c r="AG121" i="2"/>
  <c r="AG120" i="2"/>
  <c r="AG119" i="2"/>
  <c r="AG118" i="2"/>
  <c r="AG117" i="2"/>
  <c r="AG116" i="2"/>
  <c r="AG115" i="2"/>
  <c r="AG114" i="2"/>
  <c r="AG113" i="2"/>
  <c r="AG112" i="2"/>
  <c r="AG111" i="2"/>
  <c r="AG110" i="2"/>
  <c r="AG109" i="2"/>
  <c r="AG108" i="2"/>
  <c r="AG107" i="2"/>
  <c r="AG106" i="2"/>
  <c r="AG105" i="2"/>
  <c r="AG104" i="2"/>
  <c r="AG103" i="2"/>
  <c r="AG102" i="2"/>
  <c r="AG101" i="2"/>
  <c r="AG100" i="2"/>
  <c r="AG99" i="2"/>
  <c r="AG98" i="2"/>
  <c r="AG97" i="2"/>
  <c r="AG96" i="2"/>
  <c r="AG95" i="2"/>
  <c r="AG94" i="2"/>
  <c r="AG93" i="2"/>
  <c r="AG92" i="2"/>
  <c r="AG91" i="2"/>
  <c r="AG90" i="2"/>
  <c r="AG89" i="2"/>
  <c r="AG88" i="2"/>
  <c r="AG87" i="2"/>
  <c r="AG86" i="2"/>
  <c r="AG85" i="2"/>
  <c r="AG84" i="2"/>
  <c r="AG83" i="2"/>
  <c r="AG82" i="2"/>
  <c r="AG81" i="2"/>
  <c r="AG80" i="2"/>
  <c r="AG79" i="2"/>
  <c r="AG78" i="2"/>
  <c r="AG77" i="2"/>
  <c r="AG76" i="2"/>
  <c r="AG75" i="2"/>
  <c r="AG74" i="2"/>
  <c r="AG73" i="2"/>
  <c r="AG72" i="2"/>
  <c r="AG71" i="2"/>
  <c r="AG70" i="2"/>
  <c r="AG69" i="2"/>
  <c r="AG68" i="2"/>
  <c r="AG67" i="2"/>
  <c r="AG66" i="2"/>
  <c r="AG65" i="2"/>
  <c r="AG64" i="2"/>
  <c r="AG63" i="2"/>
  <c r="AG62" i="2"/>
  <c r="AG61" i="2"/>
  <c r="AG60" i="2"/>
  <c r="AG59" i="2"/>
  <c r="AG58" i="2"/>
  <c r="AG57" i="2"/>
  <c r="AG56" i="2"/>
  <c r="AG55" i="2"/>
  <c r="AG54" i="2"/>
  <c r="AG53" i="2"/>
  <c r="AG52" i="2"/>
  <c r="AG51" i="2"/>
  <c r="AG50" i="2"/>
  <c r="AG49" i="2"/>
  <c r="AG48" i="2"/>
  <c r="AG47" i="2"/>
  <c r="AG46" i="2"/>
  <c r="AG45" i="2"/>
  <c r="AG44" i="2"/>
  <c r="AG43" i="2"/>
  <c r="AG42" i="2"/>
  <c r="AG41" i="2"/>
  <c r="AG40" i="2"/>
  <c r="AG39" i="2"/>
  <c r="AG38" i="2"/>
  <c r="AG37" i="2"/>
  <c r="AG36" i="2"/>
  <c r="AG35" i="2"/>
  <c r="AG34" i="2"/>
  <c r="AG33" i="2"/>
  <c r="AG32" i="2"/>
  <c r="AG31" i="2"/>
  <c r="AG30" i="2"/>
  <c r="AG29" i="2"/>
  <c r="AG28" i="2"/>
  <c r="AG27" i="2"/>
  <c r="AG26" i="2"/>
  <c r="AG25" i="2"/>
  <c r="AG24" i="2"/>
  <c r="AG23" i="2"/>
  <c r="AG22" i="2"/>
  <c r="AG21" i="2"/>
  <c r="AG20" i="2"/>
  <c r="AG19" i="2"/>
  <c r="AG18" i="2"/>
  <c r="AG17" i="2"/>
  <c r="AG16" i="2"/>
  <c r="AG15" i="2"/>
  <c r="AG14" i="2"/>
  <c r="AG13" i="2"/>
  <c r="AG12" i="2"/>
  <c r="AG11" i="2"/>
  <c r="AG10" i="2"/>
  <c r="AG9" i="2"/>
  <c r="AG8" i="2"/>
  <c r="AG7" i="2"/>
  <c r="AG6" i="2"/>
  <c r="AG5" i="2"/>
  <c r="AG4" i="2"/>
  <c r="AG3" i="2"/>
  <c r="AG2" i="2"/>
  <c r="AI3" i="6"/>
  <c r="AI4" i="6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23" i="6"/>
  <c r="AI24" i="6"/>
  <c r="AI25" i="6"/>
  <c r="AI26" i="6"/>
  <c r="AI27" i="6"/>
  <c r="AI28" i="6"/>
  <c r="AI29" i="6"/>
  <c r="AI30" i="6"/>
  <c r="AI31" i="6"/>
  <c r="AI32" i="6"/>
  <c r="AI33" i="6"/>
  <c r="AI34" i="6"/>
  <c r="AI35" i="6"/>
  <c r="AI36" i="6"/>
  <c r="AI37" i="6"/>
  <c r="AI38" i="6"/>
  <c r="AI39" i="6"/>
  <c r="AI40" i="6"/>
  <c r="AI41" i="6"/>
  <c r="AI42" i="6"/>
  <c r="AI43" i="6"/>
  <c r="AI44" i="6"/>
  <c r="AI45" i="6"/>
  <c r="AI46" i="6"/>
  <c r="AI47" i="6"/>
  <c r="AI48" i="6"/>
  <c r="AI49" i="6"/>
  <c r="AI50" i="6"/>
  <c r="AI51" i="6"/>
  <c r="AI52" i="6"/>
  <c r="AI53" i="6"/>
  <c r="AI54" i="6"/>
  <c r="AI55" i="6"/>
  <c r="AI56" i="6"/>
  <c r="AI57" i="6"/>
  <c r="AI58" i="6"/>
  <c r="AI59" i="6"/>
  <c r="AI60" i="6"/>
  <c r="AI61" i="6"/>
  <c r="AI62" i="6"/>
  <c r="AI63" i="6"/>
  <c r="AI64" i="6"/>
  <c r="AI65" i="6"/>
  <c r="AI66" i="6"/>
  <c r="AI67" i="6"/>
  <c r="AI68" i="6"/>
  <c r="AI69" i="6"/>
  <c r="AI70" i="6"/>
  <c r="AI71" i="6"/>
  <c r="AI72" i="6"/>
  <c r="AI73" i="6"/>
  <c r="AI74" i="6"/>
  <c r="AI75" i="6"/>
  <c r="AI76" i="6"/>
  <c r="AI77" i="6"/>
  <c r="AI78" i="6"/>
  <c r="AI79" i="6"/>
  <c r="AI80" i="6"/>
  <c r="AI81" i="6"/>
  <c r="AI82" i="6"/>
  <c r="AI83" i="6"/>
  <c r="AI84" i="6"/>
  <c r="AI85" i="6"/>
  <c r="AI86" i="6"/>
  <c r="AI87" i="6"/>
  <c r="AI88" i="6"/>
  <c r="AI89" i="6"/>
  <c r="AI90" i="6"/>
  <c r="AI91" i="6"/>
  <c r="AI92" i="6"/>
  <c r="AI93" i="6"/>
  <c r="AI94" i="6"/>
  <c r="AI95" i="6"/>
  <c r="AI96" i="6"/>
  <c r="AI97" i="6"/>
  <c r="AI98" i="6"/>
  <c r="AI99" i="6"/>
  <c r="AI100" i="6"/>
  <c r="AI101" i="6"/>
  <c r="AI102" i="6"/>
  <c r="AI103" i="6"/>
  <c r="AI104" i="6"/>
  <c r="AI105" i="6"/>
  <c r="AI106" i="6"/>
  <c r="AI107" i="6"/>
  <c r="AI108" i="6"/>
  <c r="AI109" i="6"/>
  <c r="AI110" i="6"/>
  <c r="AI111" i="6"/>
  <c r="AI112" i="6"/>
  <c r="AI113" i="6"/>
  <c r="AI114" i="6"/>
  <c r="AI115" i="6"/>
  <c r="AI116" i="6"/>
  <c r="AI117" i="6"/>
  <c r="AI118" i="6"/>
  <c r="AI119" i="6"/>
  <c r="AI120" i="6"/>
  <c r="AI121" i="6"/>
  <c r="AI122" i="6"/>
  <c r="AI123" i="6"/>
  <c r="AI124" i="6"/>
  <c r="AI125" i="6"/>
  <c r="AI126" i="6"/>
  <c r="AI127" i="6"/>
  <c r="AI128" i="6"/>
  <c r="AI129" i="6"/>
  <c r="AI130" i="6"/>
  <c r="AI131" i="6"/>
  <c r="AI132" i="6"/>
  <c r="AI133" i="6"/>
  <c r="AI134" i="6"/>
  <c r="AI135" i="6"/>
  <c r="AI136" i="6"/>
  <c r="AI137" i="6"/>
  <c r="AI138" i="6"/>
  <c r="AI139" i="6"/>
  <c r="AI140" i="6"/>
  <c r="AI141" i="6"/>
  <c r="AI142" i="6"/>
  <c r="AI143" i="6"/>
  <c r="AI144" i="6"/>
  <c r="AI145" i="6"/>
  <c r="AI146" i="6"/>
  <c r="AI147" i="6"/>
  <c r="AI148" i="6"/>
  <c r="AI149" i="6"/>
  <c r="AI150" i="6"/>
  <c r="AI151" i="6"/>
  <c r="AI152" i="6"/>
  <c r="AI153" i="6"/>
  <c r="AI154" i="6"/>
  <c r="AI155" i="6"/>
  <c r="AI156" i="6"/>
  <c r="AI157" i="6"/>
  <c r="AI158" i="6"/>
  <c r="AI159" i="6"/>
  <c r="AI160" i="6"/>
  <c r="AI161" i="6"/>
  <c r="AI162" i="6"/>
  <c r="AI163" i="6"/>
  <c r="AI164" i="6"/>
  <c r="AI165" i="6"/>
  <c r="AI166" i="6"/>
  <c r="AI167" i="6"/>
  <c r="AI168" i="6"/>
  <c r="AI169" i="6"/>
  <c r="AI170" i="6"/>
  <c r="AI171" i="6"/>
  <c r="AI172" i="6"/>
  <c r="AI173" i="6"/>
  <c r="AI174" i="6"/>
  <c r="AI175" i="6"/>
  <c r="AI176" i="6"/>
  <c r="AI177" i="6"/>
  <c r="AI178" i="6"/>
  <c r="AI179" i="6"/>
  <c r="AI180" i="6"/>
  <c r="AI181" i="6"/>
  <c r="AI182" i="6"/>
  <c r="AI183" i="6"/>
  <c r="AI184" i="6"/>
  <c r="AI185" i="6"/>
  <c r="AI186" i="6"/>
  <c r="AI187" i="6"/>
  <c r="AI188" i="6"/>
  <c r="AI189" i="6"/>
  <c r="AI190" i="6"/>
  <c r="AI191" i="6"/>
  <c r="AI192" i="6"/>
  <c r="AI193" i="6"/>
  <c r="AI194" i="6"/>
  <c r="AI195" i="6"/>
  <c r="AI196" i="6"/>
  <c r="AI197" i="6"/>
  <c r="AI198" i="6"/>
  <c r="AI199" i="6"/>
  <c r="AI200" i="6"/>
  <c r="AI201" i="6"/>
  <c r="AI202" i="6"/>
  <c r="AI203" i="6"/>
  <c r="AI204" i="6"/>
  <c r="AI205" i="6"/>
  <c r="AI206" i="6"/>
  <c r="AI2" i="6"/>
  <c r="AH3" i="6"/>
  <c r="AH4" i="6"/>
  <c r="AH5" i="6"/>
  <c r="AH6" i="6"/>
  <c r="AH7" i="6"/>
  <c r="AH8" i="6"/>
  <c r="AH9" i="6"/>
  <c r="AH10" i="6"/>
  <c r="AH11" i="6"/>
  <c r="AH12" i="6"/>
  <c r="AH13" i="6"/>
  <c r="AH14" i="6"/>
  <c r="AH15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30" i="6"/>
  <c r="AH31" i="6"/>
  <c r="AH32" i="6"/>
  <c r="AH33" i="6"/>
  <c r="AH34" i="6"/>
  <c r="AH35" i="6"/>
  <c r="AH36" i="6"/>
  <c r="AH37" i="6"/>
  <c r="AH38" i="6"/>
  <c r="AH39" i="6"/>
  <c r="AH40" i="6"/>
  <c r="AH41" i="6"/>
  <c r="AH42" i="6"/>
  <c r="AH43" i="6"/>
  <c r="AH44" i="6"/>
  <c r="AH45" i="6"/>
  <c r="AH46" i="6"/>
  <c r="AH47" i="6"/>
  <c r="AH48" i="6"/>
  <c r="AH49" i="6"/>
  <c r="AH50" i="6"/>
  <c r="AH51" i="6"/>
  <c r="AH52" i="6"/>
  <c r="AH53" i="6"/>
  <c r="AH54" i="6"/>
  <c r="AH55" i="6"/>
  <c r="AH56" i="6"/>
  <c r="AH57" i="6"/>
  <c r="AH58" i="6"/>
  <c r="AH59" i="6"/>
  <c r="AH60" i="6"/>
  <c r="AH61" i="6"/>
  <c r="AH62" i="6"/>
  <c r="AH63" i="6"/>
  <c r="AH64" i="6"/>
  <c r="AH65" i="6"/>
  <c r="AH66" i="6"/>
  <c r="AH67" i="6"/>
  <c r="AH68" i="6"/>
  <c r="AH69" i="6"/>
  <c r="AH70" i="6"/>
  <c r="AH71" i="6"/>
  <c r="AH72" i="6"/>
  <c r="AH73" i="6"/>
  <c r="AH74" i="6"/>
  <c r="AH75" i="6"/>
  <c r="AH76" i="6"/>
  <c r="AH77" i="6"/>
  <c r="AH78" i="6"/>
  <c r="AH79" i="6"/>
  <c r="AH80" i="6"/>
  <c r="AH81" i="6"/>
  <c r="AH82" i="6"/>
  <c r="AH83" i="6"/>
  <c r="AH84" i="6"/>
  <c r="AH85" i="6"/>
  <c r="AH86" i="6"/>
  <c r="AH87" i="6"/>
  <c r="AH88" i="6"/>
  <c r="AH89" i="6"/>
  <c r="AH90" i="6"/>
  <c r="AH91" i="6"/>
  <c r="AH92" i="6"/>
  <c r="AH93" i="6"/>
  <c r="AH94" i="6"/>
  <c r="AH95" i="6"/>
  <c r="AH96" i="6"/>
  <c r="AH97" i="6"/>
  <c r="AH98" i="6"/>
  <c r="AH99" i="6"/>
  <c r="AH100" i="6"/>
  <c r="AH101" i="6"/>
  <c r="AH102" i="6"/>
  <c r="AH103" i="6"/>
  <c r="AH104" i="6"/>
  <c r="AH105" i="6"/>
  <c r="AH106" i="6"/>
  <c r="AH107" i="6"/>
  <c r="AH108" i="6"/>
  <c r="AH109" i="6"/>
  <c r="AH110" i="6"/>
  <c r="AH111" i="6"/>
  <c r="AH112" i="6"/>
  <c r="AH113" i="6"/>
  <c r="AH114" i="6"/>
  <c r="AH115" i="6"/>
  <c r="AH116" i="6"/>
  <c r="AH117" i="6"/>
  <c r="AH118" i="6"/>
  <c r="AH119" i="6"/>
  <c r="AH120" i="6"/>
  <c r="AH121" i="6"/>
  <c r="AH122" i="6"/>
  <c r="AH123" i="6"/>
  <c r="AH124" i="6"/>
  <c r="AH125" i="6"/>
  <c r="AH126" i="6"/>
  <c r="AH127" i="6"/>
  <c r="AH128" i="6"/>
  <c r="AH129" i="6"/>
  <c r="AH130" i="6"/>
  <c r="AH131" i="6"/>
  <c r="AH132" i="6"/>
  <c r="AH133" i="6"/>
  <c r="AH134" i="6"/>
  <c r="AH135" i="6"/>
  <c r="AH136" i="6"/>
  <c r="AH137" i="6"/>
  <c r="AH138" i="6"/>
  <c r="AH139" i="6"/>
  <c r="AH140" i="6"/>
  <c r="AH141" i="6"/>
  <c r="AH142" i="6"/>
  <c r="AH143" i="6"/>
  <c r="AH144" i="6"/>
  <c r="AH145" i="6"/>
  <c r="AH146" i="6"/>
  <c r="AH147" i="6"/>
  <c r="AH148" i="6"/>
  <c r="AH149" i="6"/>
  <c r="AH150" i="6"/>
  <c r="AH151" i="6"/>
  <c r="AH152" i="6"/>
  <c r="AH153" i="6"/>
  <c r="AH154" i="6"/>
  <c r="AH155" i="6"/>
  <c r="AH156" i="6"/>
  <c r="AH157" i="6"/>
  <c r="AH158" i="6"/>
  <c r="AH159" i="6"/>
  <c r="AH160" i="6"/>
  <c r="AH161" i="6"/>
  <c r="AH162" i="6"/>
  <c r="AH163" i="6"/>
  <c r="AH164" i="6"/>
  <c r="AH165" i="6"/>
  <c r="AH166" i="6"/>
  <c r="AH167" i="6"/>
  <c r="AH168" i="6"/>
  <c r="AH169" i="6"/>
  <c r="AH170" i="6"/>
  <c r="AH171" i="6"/>
  <c r="AH172" i="6"/>
  <c r="AH173" i="6"/>
  <c r="AH174" i="6"/>
  <c r="AH175" i="6"/>
  <c r="AH176" i="6"/>
  <c r="AH177" i="6"/>
  <c r="AH178" i="6"/>
  <c r="AH179" i="6"/>
  <c r="AH180" i="6"/>
  <c r="AH181" i="6"/>
  <c r="AH182" i="6"/>
  <c r="AH183" i="6"/>
  <c r="AH184" i="6"/>
  <c r="AH185" i="6"/>
  <c r="AH186" i="6"/>
  <c r="AH187" i="6"/>
  <c r="AH188" i="6"/>
  <c r="AH189" i="6"/>
  <c r="AH190" i="6"/>
  <c r="AH191" i="6"/>
  <c r="AH192" i="6"/>
  <c r="AH193" i="6"/>
  <c r="AH194" i="6"/>
  <c r="AH195" i="6"/>
  <c r="AH196" i="6"/>
  <c r="AH197" i="6"/>
  <c r="AH198" i="6"/>
  <c r="AH199" i="6"/>
  <c r="AH200" i="6"/>
  <c r="AH201" i="6"/>
  <c r="AH202" i="6"/>
  <c r="AH203" i="6"/>
  <c r="AH204" i="6"/>
  <c r="AH205" i="6"/>
  <c r="AH206" i="6"/>
  <c r="AH2" i="6"/>
  <c r="AG19" i="6"/>
  <c r="AG20" i="6"/>
  <c r="AG21" i="6"/>
  <c r="AG22" i="6"/>
  <c r="AG23" i="6"/>
  <c r="AG24" i="6"/>
  <c r="AG25" i="6"/>
  <c r="AG26" i="6"/>
  <c r="AG27" i="6"/>
  <c r="AG28" i="6"/>
  <c r="AG29" i="6"/>
  <c r="AG30" i="6"/>
  <c r="AG31" i="6"/>
  <c r="AG32" i="6"/>
  <c r="AG33" i="6"/>
  <c r="AG34" i="6"/>
  <c r="AG35" i="6"/>
  <c r="AG36" i="6"/>
  <c r="AG37" i="6"/>
  <c r="AG38" i="6"/>
  <c r="AG39" i="6"/>
  <c r="AG40" i="6"/>
  <c r="AG41" i="6"/>
  <c r="AG42" i="6"/>
  <c r="AG43" i="6"/>
  <c r="AG44" i="6"/>
  <c r="AG45" i="6"/>
  <c r="AG46" i="6"/>
  <c r="AG47" i="6"/>
  <c r="AG48" i="6"/>
  <c r="AG49" i="6"/>
  <c r="AG50" i="6"/>
  <c r="AG51" i="6"/>
  <c r="AG52" i="6"/>
  <c r="AG53" i="6"/>
  <c r="AG54" i="6"/>
  <c r="AG55" i="6"/>
  <c r="AG56" i="6"/>
  <c r="AG57" i="6"/>
  <c r="AG58" i="6"/>
  <c r="AG59" i="6"/>
  <c r="AG60" i="6"/>
  <c r="AG61" i="6"/>
  <c r="AG62" i="6"/>
  <c r="AG63" i="6"/>
  <c r="AG64" i="6"/>
  <c r="AG65" i="6"/>
  <c r="AG66" i="6"/>
  <c r="AG67" i="6"/>
  <c r="AG68" i="6"/>
  <c r="AG69" i="6"/>
  <c r="AG70" i="6"/>
  <c r="AG71" i="6"/>
  <c r="AG72" i="6"/>
  <c r="AG73" i="6"/>
  <c r="AG74" i="6"/>
  <c r="AG75" i="6"/>
  <c r="AG76" i="6"/>
  <c r="AG77" i="6"/>
  <c r="AG78" i="6"/>
  <c r="AG79" i="6"/>
  <c r="AG80" i="6"/>
  <c r="AG81" i="6"/>
  <c r="AG82" i="6"/>
  <c r="AG83" i="6"/>
  <c r="AG84" i="6"/>
  <c r="AG85" i="6"/>
  <c r="AG86" i="6"/>
  <c r="AG87" i="6"/>
  <c r="AG88" i="6"/>
  <c r="AG89" i="6"/>
  <c r="AG90" i="6"/>
  <c r="AG91" i="6"/>
  <c r="AG92" i="6"/>
  <c r="AG93" i="6"/>
  <c r="AG94" i="6"/>
  <c r="AG95" i="6"/>
  <c r="AG96" i="6"/>
  <c r="AG97" i="6"/>
  <c r="AG98" i="6"/>
  <c r="AG99" i="6"/>
  <c r="AG100" i="6"/>
  <c r="AG101" i="6"/>
  <c r="AG102" i="6"/>
  <c r="AG103" i="6"/>
  <c r="AG104" i="6"/>
  <c r="AG105" i="6"/>
  <c r="AG106" i="6"/>
  <c r="AG107" i="6"/>
  <c r="AG108" i="6"/>
  <c r="AG109" i="6"/>
  <c r="AG110" i="6"/>
  <c r="AG111" i="6"/>
  <c r="AG112" i="6"/>
  <c r="AG113" i="6"/>
  <c r="AG114" i="6"/>
  <c r="AG115" i="6"/>
  <c r="AG116" i="6"/>
  <c r="AG117" i="6"/>
  <c r="AG118" i="6"/>
  <c r="AG119" i="6"/>
  <c r="AG120" i="6"/>
  <c r="AG121" i="6"/>
  <c r="AG122" i="6"/>
  <c r="AG123" i="6"/>
  <c r="AG124" i="6"/>
  <c r="AG125" i="6"/>
  <c r="AG126" i="6"/>
  <c r="AG127" i="6"/>
  <c r="AG128" i="6"/>
  <c r="AG129" i="6"/>
  <c r="AG130" i="6"/>
  <c r="AG131" i="6"/>
  <c r="AG132" i="6"/>
  <c r="AG133" i="6"/>
  <c r="AG134" i="6"/>
  <c r="AG135" i="6"/>
  <c r="AG136" i="6"/>
  <c r="AG137" i="6"/>
  <c r="AG138" i="6"/>
  <c r="AG139" i="6"/>
  <c r="AG140" i="6"/>
  <c r="AG141" i="6"/>
  <c r="AG142" i="6"/>
  <c r="AG143" i="6"/>
  <c r="AG144" i="6"/>
  <c r="AG145" i="6"/>
  <c r="AG146" i="6"/>
  <c r="AG147" i="6"/>
  <c r="AG148" i="6"/>
  <c r="AG149" i="6"/>
  <c r="AG150" i="6"/>
  <c r="AG151" i="6"/>
  <c r="AG152" i="6"/>
  <c r="AG153" i="6"/>
  <c r="AG154" i="6"/>
  <c r="AG155" i="6"/>
  <c r="AG156" i="6"/>
  <c r="AG157" i="6"/>
  <c r="AG158" i="6"/>
  <c r="AG159" i="6"/>
  <c r="AG160" i="6"/>
  <c r="AG161" i="6"/>
  <c r="AG162" i="6"/>
  <c r="AG163" i="6"/>
  <c r="AG164" i="6"/>
  <c r="AG165" i="6"/>
  <c r="AG166" i="6"/>
  <c r="AG167" i="6"/>
  <c r="AG168" i="6"/>
  <c r="AG169" i="6"/>
  <c r="AG170" i="6"/>
  <c r="AG171" i="6"/>
  <c r="AG172" i="6"/>
  <c r="AG173" i="6"/>
  <c r="AG174" i="6"/>
  <c r="AG175" i="6"/>
  <c r="AG176" i="6"/>
  <c r="AG177" i="6"/>
  <c r="AG178" i="6"/>
  <c r="AG179" i="6"/>
  <c r="AG180" i="6"/>
  <c r="AG181" i="6"/>
  <c r="AG182" i="6"/>
  <c r="AG183" i="6"/>
  <c r="AG184" i="6"/>
  <c r="AG185" i="6"/>
  <c r="AG186" i="6"/>
  <c r="AG187" i="6"/>
  <c r="AG188" i="6"/>
  <c r="AG189" i="6"/>
  <c r="AG190" i="6"/>
  <c r="AG191" i="6"/>
  <c r="AG192" i="6"/>
  <c r="AG193" i="6"/>
  <c r="AG194" i="6"/>
  <c r="AG195" i="6"/>
  <c r="AG196" i="6"/>
  <c r="AG197" i="6"/>
  <c r="AG198" i="6"/>
  <c r="AG199" i="6"/>
  <c r="AG200" i="6"/>
  <c r="AG201" i="6"/>
  <c r="AG202" i="6"/>
  <c r="AG203" i="6"/>
  <c r="AG204" i="6"/>
  <c r="AG205" i="6"/>
  <c r="AG206" i="6"/>
  <c r="AG16" i="6"/>
  <c r="AG3" i="6"/>
  <c r="AG4" i="6"/>
  <c r="AG5" i="6"/>
  <c r="AG6" i="6"/>
  <c r="AG7" i="6"/>
  <c r="AG8" i="6"/>
  <c r="AG9" i="6"/>
  <c r="AG10" i="6"/>
  <c r="AG11" i="6"/>
  <c r="AG12" i="6"/>
  <c r="AG13" i="6"/>
  <c r="AG14" i="6"/>
  <c r="AG15" i="6"/>
  <c r="AG17" i="6"/>
  <c r="AG18" i="6"/>
  <c r="AG2" i="6"/>
  <c r="W9" i="8"/>
  <c r="W10" i="8"/>
  <c r="W11" i="8"/>
  <c r="W12" i="8"/>
  <c r="W13" i="8"/>
  <c r="W14" i="8"/>
  <c r="W15" i="8"/>
  <c r="W16" i="8"/>
  <c r="W17" i="8"/>
  <c r="N9" i="8"/>
  <c r="N10" i="8"/>
  <c r="N11" i="8"/>
  <c r="N12" i="8"/>
  <c r="N13" i="8"/>
  <c r="N14" i="8"/>
  <c r="N15" i="8"/>
  <c r="N16" i="8"/>
  <c r="N17" i="8"/>
  <c r="D9" i="8" l="1"/>
  <c r="D10" i="8"/>
  <c r="D11" i="8"/>
  <c r="D12" i="8"/>
  <c r="D13" i="8"/>
  <c r="D14" i="8"/>
  <c r="D15" i="8"/>
  <c r="D16" i="8"/>
  <c r="D17" i="8"/>
  <c r="AA3" i="6"/>
  <c r="AA4" i="6"/>
  <c r="AA5" i="6"/>
  <c r="AA6" i="6"/>
  <c r="AA7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29" i="6"/>
  <c r="AA130" i="6"/>
  <c r="AA131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7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" i="6"/>
  <c r="R3" i="6"/>
  <c r="R4" i="6"/>
  <c r="R5" i="6"/>
  <c r="R6" i="6"/>
  <c r="R7" i="6"/>
  <c r="R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R59" i="6"/>
  <c r="R60" i="6"/>
  <c r="R61" i="6"/>
  <c r="R62" i="6"/>
  <c r="R63" i="6"/>
  <c r="R64" i="6"/>
  <c r="R65" i="6"/>
  <c r="R66" i="6"/>
  <c r="R67" i="6"/>
  <c r="R68" i="6"/>
  <c r="R69" i="6"/>
  <c r="R70" i="6"/>
  <c r="R71" i="6"/>
  <c r="R72" i="6"/>
  <c r="R73" i="6"/>
  <c r="R74" i="6"/>
  <c r="R75" i="6"/>
  <c r="R76" i="6"/>
  <c r="R77" i="6"/>
  <c r="R78" i="6"/>
  <c r="R79" i="6"/>
  <c r="R80" i="6"/>
  <c r="R81" i="6"/>
  <c r="R82" i="6"/>
  <c r="R83" i="6"/>
  <c r="R84" i="6"/>
  <c r="R85" i="6"/>
  <c r="R86" i="6"/>
  <c r="R87" i="6"/>
  <c r="R88" i="6"/>
  <c r="R89" i="6"/>
  <c r="R90" i="6"/>
  <c r="R91" i="6"/>
  <c r="R92" i="6"/>
  <c r="R93" i="6"/>
  <c r="R94" i="6"/>
  <c r="R95" i="6"/>
  <c r="R96" i="6"/>
  <c r="R97" i="6"/>
  <c r="R98" i="6"/>
  <c r="R99" i="6"/>
  <c r="R100" i="6"/>
  <c r="R101" i="6"/>
  <c r="R102" i="6"/>
  <c r="R103" i="6"/>
  <c r="R104" i="6"/>
  <c r="R105" i="6"/>
  <c r="R106" i="6"/>
  <c r="R107" i="6"/>
  <c r="R108" i="6"/>
  <c r="R109" i="6"/>
  <c r="R110" i="6"/>
  <c r="R111" i="6"/>
  <c r="R112" i="6"/>
  <c r="R113" i="6"/>
  <c r="R114" i="6"/>
  <c r="R115" i="6"/>
  <c r="R116" i="6"/>
  <c r="R117" i="6"/>
  <c r="R118" i="6"/>
  <c r="R119" i="6"/>
  <c r="R120" i="6"/>
  <c r="R121" i="6"/>
  <c r="R122" i="6"/>
  <c r="R123" i="6"/>
  <c r="R124" i="6"/>
  <c r="R125" i="6"/>
  <c r="R126" i="6"/>
  <c r="R127" i="6"/>
  <c r="R128" i="6"/>
  <c r="R129" i="6"/>
  <c r="R130" i="6"/>
  <c r="R131" i="6"/>
  <c r="R132" i="6"/>
  <c r="R133" i="6"/>
  <c r="R134" i="6"/>
  <c r="R135" i="6"/>
  <c r="R136" i="6"/>
  <c r="R137" i="6"/>
  <c r="R138" i="6"/>
  <c r="R139" i="6"/>
  <c r="R140" i="6"/>
  <c r="R141" i="6"/>
  <c r="R142" i="6"/>
  <c r="R143" i="6"/>
  <c r="R144" i="6"/>
  <c r="R145" i="6"/>
  <c r="R146" i="6"/>
  <c r="R147" i="6"/>
  <c r="R148" i="6"/>
  <c r="R149" i="6"/>
  <c r="R150" i="6"/>
  <c r="R151" i="6"/>
  <c r="R152" i="6"/>
  <c r="R153" i="6"/>
  <c r="R154" i="6"/>
  <c r="R155" i="6"/>
  <c r="R156" i="6"/>
  <c r="R157" i="6"/>
  <c r="R158" i="6"/>
  <c r="R159" i="6"/>
  <c r="R160" i="6"/>
  <c r="R161" i="6"/>
  <c r="R162" i="6"/>
  <c r="R163" i="6"/>
  <c r="R164" i="6"/>
  <c r="R165" i="6"/>
  <c r="R166" i="6"/>
  <c r="R167" i="6"/>
  <c r="R168" i="6"/>
  <c r="R169" i="6"/>
  <c r="R170" i="6"/>
  <c r="R171" i="6"/>
  <c r="R172" i="6"/>
  <c r="R173" i="6"/>
  <c r="R174" i="6"/>
  <c r="R175" i="6"/>
  <c r="R176" i="6"/>
  <c r="R177" i="6"/>
  <c r="R178" i="6"/>
  <c r="R179" i="6"/>
  <c r="R180" i="6"/>
  <c r="R181" i="6"/>
  <c r="R182" i="6"/>
  <c r="R183" i="6"/>
  <c r="R184" i="6"/>
  <c r="R185" i="6"/>
  <c r="R186" i="6"/>
  <c r="R187" i="6"/>
  <c r="R188" i="6"/>
  <c r="R189" i="6"/>
  <c r="R190" i="6"/>
  <c r="R191" i="6"/>
  <c r="R192" i="6"/>
  <c r="R193" i="6"/>
  <c r="R194" i="6"/>
  <c r="R195" i="6"/>
  <c r="R196" i="6"/>
  <c r="R197" i="6"/>
  <c r="R198" i="6"/>
  <c r="R199" i="6"/>
  <c r="R200" i="6"/>
  <c r="R201" i="6"/>
  <c r="R202" i="6"/>
  <c r="R203" i="6"/>
  <c r="R204" i="6"/>
  <c r="R205" i="6"/>
  <c r="R206" i="6"/>
  <c r="R2" i="6"/>
  <c r="D208" i="2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" i="6"/>
  <c r="D207" i="6"/>
  <c r="E207" i="6"/>
  <c r="F9" i="8" s="1"/>
  <c r="F207" i="6"/>
  <c r="G9" i="8" s="1"/>
  <c r="G207" i="6"/>
  <c r="H9" i="8" s="1"/>
  <c r="H207" i="6"/>
  <c r="I9" i="8" s="1"/>
  <c r="M207" i="6"/>
  <c r="O9" i="8" s="1"/>
  <c r="N207" i="6"/>
  <c r="P9" i="8" s="1"/>
  <c r="O207" i="6"/>
  <c r="Q9" i="8" s="1"/>
  <c r="P207" i="6"/>
  <c r="R9" i="8" s="1"/>
  <c r="Q207" i="6"/>
  <c r="S9" i="8" s="1"/>
  <c r="V207" i="6"/>
  <c r="X9" i="8" s="1"/>
  <c r="W207" i="6"/>
  <c r="Y9" i="8" s="1"/>
  <c r="X207" i="6"/>
  <c r="Z9" i="8" s="1"/>
  <c r="Y207" i="6"/>
  <c r="AA9" i="8" s="1"/>
  <c r="Z207" i="6"/>
  <c r="AB9" i="8" s="1"/>
  <c r="Z208" i="2"/>
  <c r="Y208" i="2"/>
  <c r="X208" i="2"/>
  <c r="W208" i="2"/>
  <c r="V208" i="2"/>
  <c r="V214" i="2"/>
  <c r="V215" i="2" s="1"/>
  <c r="V212" i="2"/>
  <c r="V213" i="2" s="1"/>
  <c r="V210" i="2"/>
  <c r="V211" i="2" s="1"/>
  <c r="V209" i="2"/>
  <c r="AA207" i="2"/>
  <c r="Z207" i="2"/>
  <c r="AA3" i="2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" i="2"/>
  <c r="M214" i="2"/>
  <c r="M215" i="2" s="1"/>
  <c r="M212" i="2"/>
  <c r="M213" i="2" s="1"/>
  <c r="M210" i="2"/>
  <c r="M211" i="2" s="1"/>
  <c r="D212" i="2"/>
  <c r="D213" i="2" s="1"/>
  <c r="D211" i="2"/>
  <c r="D210" i="2"/>
  <c r="Q208" i="2"/>
  <c r="P208" i="2"/>
  <c r="O208" i="2"/>
  <c r="N208" i="2"/>
  <c r="M208" i="2"/>
  <c r="M209" i="2"/>
  <c r="R207" i="2"/>
  <c r="Q207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3" i="2"/>
  <c r="R4" i="2"/>
  <c r="R5" i="2"/>
  <c r="R6" i="2"/>
  <c r="R7" i="2"/>
  <c r="R8" i="2"/>
  <c r="R9" i="2"/>
  <c r="R10" i="2"/>
  <c r="R11" i="2"/>
  <c r="R12" i="2"/>
  <c r="R13" i="2"/>
  <c r="R2" i="2"/>
  <c r="D215" i="2"/>
  <c r="D214" i="2"/>
  <c r="H207" i="2"/>
  <c r="I20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3" i="2"/>
  <c r="I4" i="2"/>
  <c r="I5" i="2"/>
  <c r="I6" i="2"/>
  <c r="I7" i="2"/>
  <c r="I2" i="2"/>
  <c r="I207" i="6" l="1"/>
  <c r="E208" i="6" s="1"/>
  <c r="F10" i="8" s="1"/>
  <c r="V214" i="6"/>
  <c r="V215" i="6" s="1"/>
  <c r="X17" i="8" s="1"/>
  <c r="AA207" i="6"/>
  <c r="AC9" i="8" s="1"/>
  <c r="V210" i="6"/>
  <c r="V212" i="6"/>
  <c r="M212" i="6"/>
  <c r="M213" i="6" s="1"/>
  <c r="O15" i="8" s="1"/>
  <c r="R207" i="6"/>
  <c r="T9" i="8" s="1"/>
  <c r="M210" i="6"/>
  <c r="M211" i="6" s="1"/>
  <c r="O13" i="8" s="1"/>
  <c r="M214" i="6"/>
  <c r="M215" i="6" s="1"/>
  <c r="O17" i="8" s="1"/>
  <c r="D214" i="6"/>
  <c r="D215" i="6" s="1"/>
  <c r="E17" i="8" s="1"/>
  <c r="E9" i="8"/>
  <c r="D210" i="6"/>
  <c r="D212" i="6"/>
  <c r="F208" i="6" l="1"/>
  <c r="G10" i="8" s="1"/>
  <c r="J9" i="8"/>
  <c r="D209" i="6"/>
  <c r="E11" i="8" s="1"/>
  <c r="G208" i="6"/>
  <c r="H10" i="8" s="1"/>
  <c r="D208" i="6"/>
  <c r="E10" i="8" s="1"/>
  <c r="H208" i="6"/>
  <c r="I10" i="8" s="1"/>
  <c r="X16" i="8"/>
  <c r="X208" i="6"/>
  <c r="Z10" i="8" s="1"/>
  <c r="Y208" i="6"/>
  <c r="AA10" i="8" s="1"/>
  <c r="Z208" i="6"/>
  <c r="AB10" i="8" s="1"/>
  <c r="V209" i="6"/>
  <c r="X11" i="8" s="1"/>
  <c r="W208" i="6"/>
  <c r="Y10" i="8" s="1"/>
  <c r="V208" i="6"/>
  <c r="X10" i="8" s="1"/>
  <c r="V213" i="6"/>
  <c r="X15" i="8" s="1"/>
  <c r="X14" i="8"/>
  <c r="V211" i="6"/>
  <c r="X13" i="8" s="1"/>
  <c r="X12" i="8"/>
  <c r="P208" i="6"/>
  <c r="R10" i="8" s="1"/>
  <c r="O14" i="8"/>
  <c r="M209" i="6"/>
  <c r="O11" i="8" s="1"/>
  <c r="O16" i="8"/>
  <c r="M208" i="6"/>
  <c r="O10" i="8" s="1"/>
  <c r="O208" i="6"/>
  <c r="Q10" i="8" s="1"/>
  <c r="Q208" i="6"/>
  <c r="S10" i="8" s="1"/>
  <c r="N208" i="6"/>
  <c r="P10" i="8" s="1"/>
  <c r="O12" i="8"/>
  <c r="E16" i="8"/>
  <c r="D213" i="6"/>
  <c r="E15" i="8" s="1"/>
  <c r="E14" i="8"/>
  <c r="D211" i="6"/>
  <c r="E13" i="8" s="1"/>
  <c r="E12" i="8"/>
  <c r="Y207" i="2"/>
  <c r="X207" i="2"/>
  <c r="W207" i="2"/>
  <c r="V207" i="2"/>
  <c r="P207" i="2"/>
  <c r="O207" i="2"/>
  <c r="N207" i="2"/>
  <c r="D207" i="2"/>
  <c r="M207" i="2"/>
  <c r="G207" i="2"/>
  <c r="F207" i="2"/>
  <c r="E207" i="2"/>
  <c r="G208" i="2" l="1"/>
  <c r="D209" i="2"/>
  <c r="F208" i="2"/>
  <c r="E208" i="2"/>
  <c r="H208" i="2"/>
</calcChain>
</file>

<file path=xl/sharedStrings.xml><?xml version="1.0" encoding="utf-8"?>
<sst xmlns="http://schemas.openxmlformats.org/spreadsheetml/2006/main" count="3825" uniqueCount="1049">
  <si>
    <t>TRM</t>
  </si>
  <si>
    <t>PRN</t>
  </si>
  <si>
    <t>SEGS</t>
  </si>
  <si>
    <t>GSMIS</t>
  </si>
  <si>
    <t>كل عام وانت متواضع مثل هيك يابوقوص</t>
  </si>
  <si>
    <t>تسلم والله قدام عالاقل استفيد من خبرتك في سوالف التسجيل و هيك</t>
  </si>
  <si>
    <t>جوعانة يلا اهلي يصحو مشان نفطر</t>
  </si>
  <si>
    <t>هل بنوته غامضه مابعرف ليش هيك بحسك كل سنة وانتي سالمه يارب</t>
  </si>
  <si>
    <t>حتى لا تقول بعد عشر سنين يا ريتني عملت هيك لازم نغامر شوي</t>
  </si>
  <si>
    <t>الواتساب اغث برنامج ونشبه ومع هيك محد يقدر ماينزله نشبه جد</t>
  </si>
  <si>
    <t>الافضل انو ايي مشان ترتاح وتاخد حقك</t>
  </si>
  <si>
    <t>يلا الله بعين شو بدنا نعمل لحتى تعيش في هيك مجتمع لازمك شهاده</t>
  </si>
  <si>
    <t>اي هيدا الفكرة شو بدي اتحف غير هيك</t>
  </si>
  <si>
    <t>شو مشان مفاجأة سهيلة واياد لايهاب</t>
  </si>
  <si>
    <t>مدام هيك صارت كل محب يقرب والمبغض أوعى يجرب</t>
  </si>
  <si>
    <t>يمكن خونك مع بلدي وحبا اكتر منك غير هيك مستحيل خون</t>
  </si>
  <si>
    <t>بدنا نعيش حياة حقيقية حلوة بس هيك</t>
  </si>
  <si>
    <t>وانا واثق هيك انه طفل يماني حيزم ابوهن الكلاب كلهن</t>
  </si>
  <si>
    <t>هيك تكلمي أمك هسة ماكو ماكو ماكو زواج</t>
  </si>
  <si>
    <t>بدي ابقى قللك انتي هيك او سيستامك هيك</t>
  </si>
  <si>
    <t>معلش بيبي ما هنن كيف بدهم يظهرو حالهم انهم اذا ما عملو هيك حركات</t>
  </si>
  <si>
    <t>ومو بس هيك وانتي ورايحة قولي اورفوار يعني تقليعه كلاس</t>
  </si>
  <si>
    <t>لا ولو طيب ما شفنا المشعوط هيك يا محمد فركشتلنا الشعطة</t>
  </si>
  <si>
    <t>لانك معقد فيك تنتسب لأحد الاحزاب هيك بتصيرو كلكن متل بعض وطبيعيي</t>
  </si>
  <si>
    <t>لا تتركني هيك عم فتش عليك بتوهم وشك وبنادي اسمك</t>
  </si>
  <si>
    <t>هلق غور الاردن بقولوا ما دونا المستوى البحر خلص هيك طلعت حلوا عني</t>
  </si>
  <si>
    <t>ليش هيك عم يصير معي والله بحياتي ما جرحت حدا ولا زعلت حدا</t>
  </si>
  <si>
    <t>عصابة انيس تعشق فلسطين يا الله زودتوها وصلت بيكم لفلسطين اذا هيك فانز</t>
  </si>
  <si>
    <t>عم بحكي من واقع تجربة كانت رح تقضي ع حلم حياتي بس الحمد لله الحب اقوى</t>
  </si>
  <si>
    <t>اشتقنا لتغريداتك يا بيك شو بدك تحكي احكي بس المهم تحكي</t>
  </si>
  <si>
    <t>حسبي الله ونعم والوكيل على هيك عيشة الكهربا صارت ذل وإهانة</t>
  </si>
  <si>
    <t>الاشياء الحلوه دايم ما تجي بسرعه يبي لها صبر مشان نفرح با الاخير</t>
  </si>
  <si>
    <t>الله لايسامح يلي كان السبب عم يذلونا مشان الدرجه</t>
  </si>
  <si>
    <t>هيك أريحلك و الباب لي بيجي منه ريح سده و استريح</t>
  </si>
  <si>
    <t>هو هيك كتير منيح معك وبتزعلي ؟ شت</t>
  </si>
  <si>
    <t>نفسي اعرف ال العظييم مو مشان شي بس مشان يصير واسطتنا بالايام الصعبة</t>
  </si>
  <si>
    <t>هدول يلي بيفكرو هيك قمة بالتخلف</t>
  </si>
  <si>
    <t>والله احنا بالجزاءر كلشىء موجود ومع هيك على طول بنشتكى ماعجبنا العجب</t>
  </si>
  <si>
    <t>عاو هيك صار شي تاني</t>
  </si>
  <si>
    <t>اختي كمان هيك لازم توسخ لبسها دايما</t>
  </si>
  <si>
    <t>ال الوحيد يلي عرفته هو بالرياضيات ومع هيك ما كنت حبه</t>
  </si>
  <si>
    <t>ما أقذر هالمخلوق الي اسمه النمر المفروض يتسمى القمله اي هيك يكه عليه</t>
  </si>
  <si>
    <t>يخرب بيتك على هيك ابيات قمة في المعنى ١٠ على ١٠</t>
  </si>
  <si>
    <t>شو لسا بدو يصير اكتر من هيك يا رب فرجك مضايا مضايا اخت اليرموك</t>
  </si>
  <si>
    <t>ووبا عليكون هيك الي يطلعلكون إحساسه</t>
  </si>
  <si>
    <t>وكك انا صحيت من النوم مشان الحلم وبالآخر نسيتو</t>
  </si>
  <si>
    <t>هيدي الصوره انا و امك عم فرشلها لان هي هيك بتحب</t>
  </si>
  <si>
    <t>بسأل حالي ليش هيك بصير معي بعدين بثانية برد عحالي بتستاهلي</t>
  </si>
  <si>
    <t>في ناس كتير لما خسرتهم ندمت على كل فرصة كانت تجيني مشان اخسرهم و ضيعتها</t>
  </si>
  <si>
    <t>ما عندن غير جواب اختبار حكمة الله هيك بدو طنشي</t>
  </si>
  <si>
    <t>الأردني كيف بدعي؟ يا رب مشان الله</t>
  </si>
  <si>
    <t>عنجد يعني لي هيك عملو ي ما نامو هيني شكلو هالسنه اسمو ستار نوم</t>
  </si>
  <si>
    <t>ومنين يا عيوني هيجي التفاؤل من شان هيك مارضيت احبطكم</t>
  </si>
  <si>
    <t>عشان هيك ولا ريتويت اجالي اتوترو</t>
  </si>
  <si>
    <t>هيك بصير دايما مهو</t>
  </si>
  <si>
    <t>قط شوارع عينو ع فافينا في شي اسمو القتل الرحيم مش هيك</t>
  </si>
  <si>
    <t>إزا هيك أصدك بيمشي الحال تحياتي ضي</t>
  </si>
  <si>
    <t>يبلكك أريحلك مآ بيلزمك هيك مآركآت</t>
  </si>
  <si>
    <t>مفلسين من الأساس لو ما هيك ما كانوا باعوا شرفهم بس تفلس السعودية</t>
  </si>
  <si>
    <t>كنت متوقعة هيك سؤال عندي قصر</t>
  </si>
  <si>
    <t>مارسلينو بيقول هايدي بتضحك على اى شيء في اهضم من هيك</t>
  </si>
  <si>
    <t>هيك صارت يلا لبلش سرقه لكان ويا ويلو للي بقللي انت سراقه</t>
  </si>
  <si>
    <t>ايهاب توجناك باللقب تستاهل اكتر من هيك يا غالي</t>
  </si>
  <si>
    <t>هيه هيك والله يا هملالي والحبل عالجرار</t>
  </si>
  <si>
    <t>بس اكيد نحن نتبرئ من هيك عالم خونا</t>
  </si>
  <si>
    <t>بدي اخلي المراقبين اليوم يلبسو ميكي ماوس مشان اخر امتحان</t>
  </si>
  <si>
    <t>شام تطلع هيك من غير احم ولادستور ماتقول احلام سعيده و</t>
  </si>
  <si>
    <t>الاكل للمتكمم متعب في السفر مشان هيك اقلبيها سناكات</t>
  </si>
  <si>
    <t>ماحب هيك لمن اتكلم بطريقه و غيري يتكلم نفسي خو انتي شكو</t>
  </si>
  <si>
    <t>كلام صحيح واللي يقول غير هيك يعني عم يتفرج برنامج تاني</t>
  </si>
  <si>
    <t>ماباقيش حرام مش قادرة استوعب لييش هيك لييش</t>
  </si>
  <si>
    <t>هيدا واحد من الف يا ريت كلن هيك بالعكس شي بيشرف</t>
  </si>
  <si>
    <t>لا انا هيك بس اشوف فيلم كتير بتأثر</t>
  </si>
  <si>
    <t>الايام مثل بعضها أكل شرب شغل ونوم أحلى من هيك ما بقى في</t>
  </si>
  <si>
    <t>بتمنى شوفك وقلك انا هيك ومش رح اتغير كرمال سواد عيون حدا</t>
  </si>
  <si>
    <t>انا مكيفة عليها مشان توخد نائل وترجع لين لرجاا قصة حب</t>
  </si>
  <si>
    <t>يسلملي انا اذا زعلان و هيك</t>
  </si>
  <si>
    <t>تسلمي يا قلبي وكتير عليي هالكلام الله ما يحرمني من هيك محبة</t>
  </si>
  <si>
    <t>كفاية ان نانسي عجرم ع ارضكن شو بدكن اكتر ؟</t>
  </si>
  <si>
    <t>مع انو شفت افتارك قبل هيك وانبسطت لما شفتو ورديت هلأ انبسطت برضو</t>
  </si>
  <si>
    <t>بيستاهل الحمد نحنا الفجر كان تلج خفيف وهلا شمست بس مع هيك برد</t>
  </si>
  <si>
    <t>هيك بوصل لل٪ و بنجح ان شاء الله الله يبارك فيكي يا رب</t>
  </si>
  <si>
    <t>أحلى شي الواحد يكفي علمه و يشوف كيف بدو يهج غير هيك إنسى</t>
  </si>
  <si>
    <t>ما تفكر كتير البلد هيك صديق اليوم عدو الأمس و العكس صحيح</t>
  </si>
  <si>
    <t>الحكيم بكره تجمع ضد هيك قرار</t>
  </si>
  <si>
    <t>فش اوقح من هيك قتلتيني جاي تتهجمي علي وبدك ازقفلك مثلا؟</t>
  </si>
  <si>
    <t>اذا هيك كتير منيح</t>
  </si>
  <si>
    <t>ناقصنا كتير وقت مشان نضيعه</t>
  </si>
  <si>
    <t>نسيمو اكبر من هيك اسفتاءات واكيد راجع بقوة ولا عزاء للحاقدين</t>
  </si>
  <si>
    <t>خلص شو بدك فيهم خليهم في فسادهم يمرحون</t>
  </si>
  <si>
    <t>ما مشان هيك انا اكيدة انو ما بطيقو من جوا</t>
  </si>
  <si>
    <t>صح في ناس بتفكر هيك للاسف</t>
  </si>
  <si>
    <t>كرز واطلله هيك كتير كرز م</t>
  </si>
  <si>
    <t>اذا هيك اوك العبي معنا هاي الك</t>
  </si>
  <si>
    <t>من فصل واحد بس كانت هيك طلباتك ايش ح نعمل معك لقدام</t>
  </si>
  <si>
    <t>ديما صدق الناس الغريبة عشان عمرهم ما خدعونا قبل هيك</t>
  </si>
  <si>
    <t>هالقد نحن عاطفيين ومازالنا هيك لا تغيير لا ثورات ونعم للحروب</t>
  </si>
  <si>
    <t>أنا راح أعمل هيك ما بدنا جميلة حد أخجلي بصحلك الخجل</t>
  </si>
  <si>
    <t>انتي قلتي بلاش تسليك عشان هيك حعدلك كلمه المرض الى الماضي</t>
  </si>
  <si>
    <t>اهم يقولون الحقيقة عادي انت تقولها قديش انت مش محترم يا زلمة</t>
  </si>
  <si>
    <t>ليش هيك بصير مع الواحد الصادق والي بحب من قلبه</t>
  </si>
  <si>
    <t>مجنون و بدك اذا مجنون ما بدي اعرف شو بدك</t>
  </si>
  <si>
    <t>فضلكم واللهما حد ينساه و الي يقول غير هيك وينكرو هدا قليل اصل</t>
  </si>
  <si>
    <t>هنن لما هيك قالو قصدهون انو الكمال لله</t>
  </si>
  <si>
    <t>مشان هيكا تخلف عم يزيد و عم نرجع لورا</t>
  </si>
  <si>
    <t>لو هيك في حبة دواء بتعالج الحالة هاي مجتمعة جوع تعب نعس</t>
  </si>
  <si>
    <t>ممكن ما منتبه لأنوا غير هيك يكون تفسيرا مسيسا ربما</t>
  </si>
  <si>
    <t>حنان ما يفديك البكي و بتخرجي من برنامج هذا الاسبوع مو حلو منظرك هيك</t>
  </si>
  <si>
    <t>ليش بعنس الرجال من كثر البنات الي بعملوا هيك هاشتاق</t>
  </si>
  <si>
    <t>ببصملك بالعشره ع هيك برنامج برافو بدايه كتير بمطرحا</t>
  </si>
  <si>
    <t>يخوان في ناس هيك مجرد ماتسمع اصواتهم بتيجيك طمأنينة</t>
  </si>
  <si>
    <t>أكثر بنت محظوظه اللي يحبها شاعر إيش تبغى أكثر من هيك</t>
  </si>
  <si>
    <t>اكيد راح تنسي الاكل على النار و نموت كلنا هيك قصدي</t>
  </si>
  <si>
    <t>اللعب على حبلين بنعرفه بس انه ٤ و ٥ و ٦ حبال هيك كتير</t>
  </si>
  <si>
    <t>اهم شي يمسح خشمه بيدها لا لا لا لا مو هيك</t>
  </si>
  <si>
    <t>والله اول مرة شوف هيك طبق ما عندي فكرة ابدا عنوا</t>
  </si>
  <si>
    <t>من صحابة مولانا مولانا هيك علمنا</t>
  </si>
  <si>
    <t>ما بنطلب من الحياة غير انو تضلها زي هيك وما تزيد سوء</t>
  </si>
  <si>
    <t>يمكن بدي ياك وانت منك عارف شو بدك ؟؟ رح جرب انساك عود ايدي ما تلمس خدك</t>
  </si>
  <si>
    <t>انت هيك ابدعت وتفوقت على نفسك</t>
  </si>
  <si>
    <t>لا مو هيك والله أحبك روحي</t>
  </si>
  <si>
    <t>هلا فهمت عليكي اذا هيك بسيطه ما بتفرئق</t>
  </si>
  <si>
    <t>العفو انتا تستاهل اكتر من هيك ياعسول</t>
  </si>
  <si>
    <t>نفس كلامنا مو حلو يغني هيك أغنية قدام طفل</t>
  </si>
  <si>
    <t>شو بدك خبيط نورتي يا بطة بشع غيابك كتير</t>
  </si>
  <si>
    <t>مشاعرك مش زباين عندي مشان اراعيها</t>
  </si>
  <si>
    <t>لعيون الاردن مشان الله روحوا تشويش واضح</t>
  </si>
  <si>
    <t>هيدا حالى هيك خدينى مع مصارى او بلا</t>
  </si>
  <si>
    <t>بس والله هيك تنتين شاورما وبعدهون صحن كنافة نابلسية بيسوو تقلهون دهب</t>
  </si>
  <si>
    <t>قولك ع شو عم يتفرجو حتى هيك مبسوطين</t>
  </si>
  <si>
    <t>لا هيك بدك تطولو بعمرو دخيلك دور عشي وصفة تانية</t>
  </si>
  <si>
    <t>اه انا ما اعمل هيك ليعمل مخالفة لعيلتي كلها</t>
  </si>
  <si>
    <t>عشو مستعجل مابيسوالك هيك منشان صحتك</t>
  </si>
  <si>
    <t>طيب كم انا دب منيح هيك</t>
  </si>
  <si>
    <t>فكرك مشان مش عم بحكي يعني مش موجوع؟</t>
  </si>
  <si>
    <t>الورد مايذبل الا اذا حد حضنها عشان هيك انا مابحبش الحضن</t>
  </si>
  <si>
    <t>افينتادور يا حازم وصلت فيك هيك تطعني بالظهر يا حازم</t>
  </si>
  <si>
    <t>لتكون قوي بلبنان لازم معك ثروة غير هيك بتعيش مذلول</t>
  </si>
  <si>
    <t>هيك المفروض في ناس بس بدها تمشي</t>
  </si>
  <si>
    <t>تسلم شكرا كتير لا هيك خجلتني ما عاد فيني احكي</t>
  </si>
  <si>
    <t>المفروض نعمل فقرة تتكلم فيها هيك يا بوب تعالى بالليل</t>
  </si>
  <si>
    <t>كيف بيجيهم اولاد يا زلمة واي فاي مثلا</t>
  </si>
  <si>
    <t>مابدي خليك هيك مو فهمان شي</t>
  </si>
  <si>
    <t>حسبي الله ونعم الوكيل بس والله حرام نشر هيك صوره</t>
  </si>
  <si>
    <t>مشكورين انا قلت يمكن هيك لانكم ماوضحتو جزيل الشكر</t>
  </si>
  <si>
    <t>شو بدك فيه ودعي لحالك وإلنا دعوة منيحة ومانلتقي في بأي جيل</t>
  </si>
  <si>
    <t>مااقدر خلني هيك احسن</t>
  </si>
  <si>
    <t>منيح اني فايتة نام كنت ربحت ميوت مش كلن هيك ورا بعض</t>
  </si>
  <si>
    <t>لا تحكي ظروفي بتسمحش في ناس ظروفها كانت أسوء مع هيك نجحت وصارت</t>
  </si>
  <si>
    <t>في اماكن منيحة مشان الجو لما يكون مو منيح</t>
  </si>
  <si>
    <t>الله بيجبر خاطرك على هيك حكي بدي أتواصل معاك كل يوم وأزعجك كمان</t>
  </si>
  <si>
    <t>مش هيك كل طلعة ما هذا ؟ شيت</t>
  </si>
  <si>
    <t>عينك بعيني لشوف شو بدك تشوفي بعين طئ شرش الحيا فيها</t>
  </si>
  <si>
    <t>يلي بمشي على مبدأ الكل بعملوا هيك بكون ناقصك كتير فهم</t>
  </si>
  <si>
    <t>طيب ليش الواحد ما فيه يعمل تمارين لأنفو مشان يصير مشدود ومنظرو جذاب</t>
  </si>
  <si>
    <t>اهاب هيك بكل رجوله واقف مع ساهو</t>
  </si>
  <si>
    <t>ياربي هالرافي يجنن قالها عنجد جسيت هيك لو اخذتي اللقب كانو انا</t>
  </si>
  <si>
    <t>طيب حطهم بكيس عشان بقدرش احملهم هيك</t>
  </si>
  <si>
    <t>بربك لكان هي مو انا هي انت هيك بدك ياني تسلم يا معلم</t>
  </si>
  <si>
    <t>بتعرف هيدا الشخص يلي بيكون منحوس و حظه زفت؟ نحنا هيك كشعب كامل</t>
  </si>
  <si>
    <t>عشان هيك بحب البني ادمين اللي بتحسو لوح عشان قدامك وبظهرك واحد</t>
  </si>
  <si>
    <t>هيك بيعيشوا مثل طحالب المستنقعات لازم تقطير لتخلصو امن هالشوائب</t>
  </si>
  <si>
    <t>أبو حسين شلون تدعس على رقبتي هيك سنافيات</t>
  </si>
  <si>
    <t>بسمحلكوش تحكو ع سارة هيك مالنا</t>
  </si>
  <si>
    <t>كنترول حط على سهيلة وايهاب ليش هيك عندك مشكل معانا</t>
  </si>
  <si>
    <t>مشش هيك ي نانسي ناعمة متلي كلك عمليات تجميل</t>
  </si>
  <si>
    <t>تقولي المخرجين انعموا عن هيك كوبل يعئد</t>
  </si>
  <si>
    <t>ما في وما لازم يفتحوا بي هيك طقس</t>
  </si>
  <si>
    <t>قصدي أهدي النفوس مالك هيك بتحكي عني</t>
  </si>
  <si>
    <t>ايووا بالزبط هيك احسن اشي</t>
  </si>
  <si>
    <t>ايه هيك بدي ياك حج الحجاج كللها يللا تصبح على خير انشالله</t>
  </si>
  <si>
    <t>شوفي شوق؟نبيه ما بينقللو هيك</t>
  </si>
  <si>
    <t>السعودي نععجه وخروف مشان هيك الكل بيضحك عليه وياخذوه فلوسه</t>
  </si>
  <si>
    <t>اعوذ بالله نعم للعنوسه اذا هيك</t>
  </si>
  <si>
    <t>ياخيي في ناس بحبهم عالآخرر هيك بلا ولا شي</t>
  </si>
  <si>
    <t>انا كنت عم بحكي عن ولد عمرو 10 سنين مشترك ب ذا فويس</t>
  </si>
  <si>
    <t>يارب إستودعتك الإنسانة اللي بقلبي يارب تحميها من هيك جو مخيف</t>
  </si>
  <si>
    <t>مرة واحد حط قنبلة تحت مخدتو ليش مشان يفقعا نومة تن تن ترارا تن تن</t>
  </si>
  <si>
    <t>ايه شكلها هيك صارت لهللأ ما ردت علينا</t>
  </si>
  <si>
    <t>ليه هيك العطلة بتمرق بسرعة</t>
  </si>
  <si>
    <t>ايي معك حق كلهم هيك لما تعامليهم بالمثل مايرضون</t>
  </si>
  <si>
    <t>بس ترجع تشيلو المرة الجاي بنعمل هيك وبناكل ميوت</t>
  </si>
  <si>
    <t>لانو منطقتها التي تسكن فيها رقصهم هيك رقص نايلي</t>
  </si>
  <si>
    <t>اجتماع عال مشان يقرروا إذا في دوام والدوام بدا عال ٧</t>
  </si>
  <si>
    <t>ما بعرف مشان هيك بحاول اقنعك امي كبرت</t>
  </si>
  <si>
    <t>انو في صوت حلو هيك يا جسار؟ دخيل البحه</t>
  </si>
  <si>
    <t>انا مشان ابقى عم أتسلى الله عم يورجيني بلاوي</t>
  </si>
  <si>
    <t>في ناس هيك بتيجي بحياتك عشان تعلمك انك ما تثق بحدا بسهولة</t>
  </si>
  <si>
    <t>كنترول ليش هيك ليش رجع عليهم</t>
  </si>
  <si>
    <t>صارلي زمان مش شايف امي و اول كلمة حكتلي اياها ليش لابس هيك بهالجو</t>
  </si>
  <si>
    <t>كل عام وأنت متواضع هكذا يا أبو قوص</t>
  </si>
  <si>
    <t>سلمك الله في المستقبل انشاء الله سأستفيد من خبرتك في مواضيع التسجيل وهكذا</t>
  </si>
  <si>
    <t>أنا جائعة هيا ليستيقظ أهلي كي نفطر</t>
  </si>
  <si>
    <t>هذه الفتاة غامضة لا أعرف لماذا أشعر هكذا كل عام وأنت بخير يا رب</t>
  </si>
  <si>
    <t>حتى لا تقول بعد عشر سنين يا ليتني فعلت هكذا يجب أن نغامر قليلا</t>
  </si>
  <si>
    <t>الواتساب أبشع برنامج ومع ذلك لا يستطيع أحد عدم تنزيله فعلا</t>
  </si>
  <si>
    <t>الأفضل أن آتي لترتاح وتأخذ حقك</t>
  </si>
  <si>
    <t>يلا الله يعين ماذا سنفعل؟ لكي تعيش في هذا المجتمع تحتاج إلى شهادة</t>
  </si>
  <si>
    <t>نعم هذه هي الفكرة ماذا أريد أروع من ذلك؟</t>
  </si>
  <si>
    <t>ماذا عن مفاجأة سهيلة وإياد لإيهاب؟</t>
  </si>
  <si>
    <t>مادام الأمر هكذا فليقرب كل حبيب وليبتعد كل بغيض</t>
  </si>
  <si>
    <t>من الممكن أن أخونك فقط مع بلدي وأحبه أكثر منك غير ذلك مستحيل أن أخونك</t>
  </si>
  <si>
    <t>نريد أن نعيش حياة حقيقية جميلة فقط هكذا</t>
  </si>
  <si>
    <t>وأنا واثق هكذا أنه طفل يماني سيهزم أباهم الكلاب كلهم</t>
  </si>
  <si>
    <t>هكذا تكلمين أمك الآن؟ لا يوجد لا يوجد لا يوجد زواج</t>
  </si>
  <si>
    <t>أريد أن أقول لك هل أنت هكذا أم نظامك هكذا؟</t>
  </si>
  <si>
    <t>لا تقلق حبيبي كيف سيظهرون أنفسهم إذا لم يفعلوا مثل هذه الحركات</t>
  </si>
  <si>
    <t>وليس هذا فقط وأنت ذاهبة قولي أورفوار يعني وداع بأسلوب أنيق</t>
  </si>
  <si>
    <t>لا والله طيب لم نر المشعوط هكذا يا محمد لقد خربت لنا الأمر</t>
  </si>
  <si>
    <t>لأنك معقد يمكنك الانتساب إلى أحد الأحزاب وهكذا تصبحون جميعا سواء وهذا طبيعي</t>
  </si>
  <si>
    <t>لا تتركني هكذا أبحث عنك وأتوهم وجهك وأنادي اسمك</t>
  </si>
  <si>
    <t>الآن غور الأردن يقال إنه دون مستوى سطح البحر إذا كان الأمر كذلك انتهيت من هذا</t>
  </si>
  <si>
    <t>لماذا يحدث معي هكذا؟ والله في حياتي لم أجرح أحدا ولا أغضبت أحدا</t>
  </si>
  <si>
    <t>عصابة أنيس تعشق فلسطين يا الله لقد بالغتم وصلتم بكم إلى فلسطين؟ إذا كان الأمر كذلك معجبون</t>
  </si>
  <si>
    <t>أنا أتحدث من واقع تجربة كادت أن تقضي على حلم حياتي لكن الحمد لله الحب أقوى</t>
  </si>
  <si>
    <t>اشتقنا لتغريداتك يا بيك قل ما تريد المهم أن تتكلم</t>
  </si>
  <si>
    <t>حسبي الله ونعم الوكيل على هذه العيشة الكهرباء صارت ذل وإهانة</t>
  </si>
  <si>
    <t>الأشياء الجميلة دائما لا تأتي بسرعة نحتاج إلى الصبر لكي نفرح في النهاية</t>
  </si>
  <si>
    <t>لا سامح الله من كان السبب يذلوننا من أجل الدرجة</t>
  </si>
  <si>
    <t>هذا أريح لك الباب الذي تأتي منه الريح سده واسترح</t>
  </si>
  <si>
    <t>هو هكذا جيد جدا معك وأنت تحزنين؟</t>
  </si>
  <si>
    <t>نفسي أعرف الطالب العظيم ليس من أجل شيء إنما ليصبح واسطتنا في الأيام الصعبة</t>
  </si>
  <si>
    <t>هؤلاء الذين يفكرون هكذا قمة التخلف</t>
  </si>
  <si>
    <t>و الله نحن بالجزائر كل شيء متوفر و مع ذلك دائما نشكي لا يعجبنا شيء</t>
  </si>
  <si>
    <t>نعم هكذا أصبح شيئا آخر</t>
  </si>
  <si>
    <t>أختي أيضا كذلك لابد أن توسخ ثيابها</t>
  </si>
  <si>
    <t>الشيء الوحيد الذي عرفته هو في الرياضيات ومع ذلك لم أحبه</t>
  </si>
  <si>
    <t>ما أقذر هذا المخلوق الذي يدعى النمر من المفروض أن يسمى القملة نعم هكذا تليق به</t>
  </si>
  <si>
    <t>يا سلام على هذه الأبيات قمة في المعنى</t>
  </si>
  <si>
    <t>ماذا يمكن أن يحدث أكثر من ذلك؟ يا رب فرجك مضايا مضايا أخت اليرموك</t>
  </si>
  <si>
    <t>هكذا يقوم بإظهار مشاعره لكم</t>
  </si>
  <si>
    <t>استيقظت من النوم من أجل الحلم وفي النهاية نسيته</t>
  </si>
  <si>
    <t>هذه الصورة لي ولامك عندما كنت افرش لها لانها تحب ذلك</t>
  </si>
  <si>
    <t>أسأل نفسي لماذا يحدث هذا معي ثم في الثانية التالية أجيب نفسي تستحقين ذلك</t>
  </si>
  <si>
    <t>هناك أناس كثر عندما خسرتهم ندمت على كل فرصة كانت تأتيني لكي أخسرهم وأضعتها</t>
  </si>
  <si>
    <t>ليس عندهم سوى جواب اختبار حكمة هذا ما يريده الله قومي بالتطنيش</t>
  </si>
  <si>
    <t>الأردني عندما يدعو يقول يا رب من أجل الله</t>
  </si>
  <si>
    <t>حقا لماذا فعلوا ذلك؟ ي لم يناموا يبدو أن هذه السنة اسم البرنامج ستار نوم</t>
  </si>
  <si>
    <t>من أين سيأتي التفاؤل لذلك لم أشأ أن أحبطكم</t>
  </si>
  <si>
    <t>لهذا السبب لم يصلني أي إعادة تغريد على تويتر</t>
  </si>
  <si>
    <t>هكذا يحدث دائما أليس كذلك؟</t>
  </si>
  <si>
    <t>قط شوارع عينه على فافينا هناك شيء يسمى القتل الرحيم أليس كذلك؟</t>
  </si>
  <si>
    <t>إذا هكذا قصدك فالأمور على ما يرام تحياتي ض ي</t>
  </si>
  <si>
    <t>يريحك لا يلزمك هذه الماركات</t>
  </si>
  <si>
    <t>مفلسون من الأساس لو لم يكن الأمر كذلك لما باعوا شرفهم ولكن تفلس السعودية</t>
  </si>
  <si>
    <t>كنت متوقعة هكذا سؤال عندي قصر</t>
  </si>
  <si>
    <t>مارسيلينو يقول هذه الفتاة تضحك على أي شيء هل هناك أظرف من هذا؟</t>
  </si>
  <si>
    <t>هكذا صارت هيا لنبدأ السرقة إذن وويل لمن يقول عني أني سارقة</t>
  </si>
  <si>
    <t>إيهاب لقد توجناك باللقب تستحق أكثر من ذلك يا غالي</t>
  </si>
  <si>
    <t>هي هكذا والله يا هملالي والحبل على الجرار</t>
  </si>
  <si>
    <t>بالتأكيد نحن نتبرأ من هذه النوعية من الناس فهم خونة</t>
  </si>
  <si>
    <t>أريد أن أجعل المراقبين اليوم يرتدون زي ميكي ماوس من أجل آخر امتحان</t>
  </si>
  <si>
    <t>شام تخرج هكذا بدون أي تنبيه ولا تقول أحلاما سعيدة</t>
  </si>
  <si>
    <t>الأكل للمتكمم متعب في السفر لذلك أقلبيها وجبات خفيفة</t>
  </si>
  <si>
    <t>لا أحب ذلك عندما أتحدث بطريقة ويتحدث غيري نفس الشيء ما دخلك أنت؟</t>
  </si>
  <si>
    <t>كلام صحيح والذي يقول غير ذلك يعني أنه يتابع برنامج آخر</t>
  </si>
  <si>
    <t>لم أعد أستطيع حرام لا أستطيع أن أستوعب لماذا يحدث هذا لماذا</t>
  </si>
  <si>
    <t>هذا واحد من ألف أتمنى لو كان جميعهم هكذا بالعكس هذا شيء مشرف</t>
  </si>
  <si>
    <t>لا أنا هكذا عندما أرى فيلم أتأثر كثيرا</t>
  </si>
  <si>
    <t>الأيام متشابهة أكل وشرب وعمل ونوم أهناك أفضل من ذلك؟</t>
  </si>
  <si>
    <t>اتمنى ان اراك واقول لك اننى مثل ما انا ولن اتغير من اجل اي احد</t>
  </si>
  <si>
    <t>أنا مسرورة جدا لأنها تأخذ نائل وتعيد لين لرجل قصة حب</t>
  </si>
  <si>
    <t>يسلم لي حتى وأنا زعلان</t>
  </si>
  <si>
    <t>سلمك الله يا قلبي وهذا الكلام كثير علي أسأل الله أن لا يحرمني من هكذا محبة</t>
  </si>
  <si>
    <t>يكفي أن نانسي عجرم على أرضكم ماذا تريدون أكثر من ذلك؟</t>
  </si>
  <si>
    <t>مع أنني رأيت إبداعك من قبل وسعدت عندما رأيته والآن سعدت أيضا</t>
  </si>
  <si>
    <t>يستحق الحمد في الفجر كان هناك ثلج خفيف والآن الجو مشمس ولكن لا يزال الجو باردا</t>
  </si>
  <si>
    <t>هكذا أصل إلى 7 وأنجح إن شاء الله الله يبارك فيك يا رب</t>
  </si>
  <si>
    <t>افضل شىء ان يكمل الواحد علمه وبعدها يهاجر غير ذلك انسى</t>
  </si>
  <si>
    <t>لا تفكر كثيرا البلد هكذا صديق اليوم عدو الأمس والعكس صحيح</t>
  </si>
  <si>
    <t>الحكيم يكره التجمع ضد هذا القرار</t>
  </si>
  <si>
    <t>لا يوجد أوقح من هذا قتلتني؛ جئت تتهجمين علي وتريدين أن أصفق لك مثلا؟</t>
  </si>
  <si>
    <t>إذا كان كذلك فهذا جيد جدا</t>
  </si>
  <si>
    <t>ينقصنا الكثير من الوقت لكي نضيعه</t>
  </si>
  <si>
    <t>نسيم أكبر من هذه الاستفتاءات وأكيد سيعود بقوة ولا عزاء للحاقدين</t>
  </si>
  <si>
    <t>ماذا تريد منهم؟ اتركهم في فسادهم يمرحون</t>
  </si>
  <si>
    <t>ليس من أجل هذا أنا متأكدة أنه لا يطيقه من الداخل</t>
  </si>
  <si>
    <t>صحيح هناك أناس يفكرون هكذا للأسف</t>
  </si>
  <si>
    <t>الكرز ضع عليه هكذا الكثير من الكرز م</t>
  </si>
  <si>
    <t>إذا كان الحال هكذا العبي معنا هذه لك</t>
  </si>
  <si>
    <t>من فصل واحد فقط وكانت هذه طلباتك ماذا سنفعل معك في المستقبل؟</t>
  </si>
  <si>
    <t>دائما صدق الناس الغرباء لأنهم لم يخدعونا من قبل</t>
  </si>
  <si>
    <t>إلى هذا الحد نحن عاطفيبن وما زلنا هكذا لا تغيير ولا ثورات ونعم للحروب</t>
  </si>
  <si>
    <t>أنا سأفعل هكذا لا نريد معروفا من أحد اخجلي يحق لك أن تخجلي</t>
  </si>
  <si>
    <t>أنت قلت لا تريدين التسلية لذلك سأعدل كلمة المرض إلى الماضي</t>
  </si>
  <si>
    <t>هم يقولون الحقيقة عادي أما أنت فتقولها كم أنت غير محترم يا رجل</t>
  </si>
  <si>
    <t>لماذا يحدث هذا مع الشخص الصادق والذي يحب من قلبه؟</t>
  </si>
  <si>
    <t>مجنون وتريد إذا كنت مجنونا لا أريد أن أعرف ماذا تريد</t>
  </si>
  <si>
    <t>فضلكم والله لا أحد ينساه ومن يقول غير ذلك وينكره فهو قليل الأصل</t>
  </si>
  <si>
    <t>هم عندما قالوا هذا قصدهم أن الكمال لله</t>
  </si>
  <si>
    <t>بسبب هذا نختلف أكثر ونعود للوراء</t>
  </si>
  <si>
    <t>لو أن هناك دواء يعالج حالات الجوع والتعب والنعس معا</t>
  </si>
  <si>
    <t>ربما لم أنتبه لأنه إذا لم يكن كذلك فقد يكون تفسيرا مسيسا</t>
  </si>
  <si>
    <t>حنان لا ينفعك البكاء وستخرجين من البرنامج هذا الأسبوع ليس جميلا مظهرك هكذا</t>
  </si>
  <si>
    <t>لماذا يعزف الرجال عن الزواج بسبب كثرة البنات اللاتي يفعلن مثل هذا الهاشتاق</t>
  </si>
  <si>
    <t>أشهد بأن برنامجك ناجح ورائع بداية موفقة</t>
  </si>
  <si>
    <t>يا إخواني هناك ناس مجرد أن تسمع أصواتهم تأتيك الطمأنينة</t>
  </si>
  <si>
    <t>الفتاة الاوفر حظا هي التي يحبها شاعر ماذا تريد اكثر من هذا</t>
  </si>
  <si>
    <t>من المؤكد أنك ستنسين الطعام على النار ونموت جميعا هذا ما أقصده</t>
  </si>
  <si>
    <t>اللعب على حبلين نعرفه لكن أن يكون هناك ثلاثة وأربعة وخمسة حبال هذا العدد كثير</t>
  </si>
  <si>
    <t>أهم شيء أن يمسح أنفه بيدها لا لا لا ليس هكذا</t>
  </si>
  <si>
    <t>والله أول مرة أشاهد هكذا طبق ما عندي فكرة أبدا عنه</t>
  </si>
  <si>
    <t>من صحابة مولانا مولانا هكذا علمنا</t>
  </si>
  <si>
    <t>لا نطلب من الحياة غير أن تظل هكذا ولا تزداد سوءا</t>
  </si>
  <si>
    <t>يمكن أريدك وأنت لا تعرف ماذا تريد سأحاول أن أنساك وأعود يدي ألا تلمس خدك</t>
  </si>
  <si>
    <t>أنت هكذا أبدعت وتفوقت على نفسك</t>
  </si>
  <si>
    <t>لا ليس كذلك والله أحبك يا روحي</t>
  </si>
  <si>
    <t>الآن فهمت عليك إذا كان الأمر كذلك بسيطة لا تفرق</t>
  </si>
  <si>
    <t>عفوا أنت تستحق أكثر من ذلك يا عسول</t>
  </si>
  <si>
    <t>مثل كلامنا ليس جميلا أن يغني أغنية كهذه أمام طفل</t>
  </si>
  <si>
    <t>ماذا تريدين؟ نورتي يا بطة كان غيابك بشعا جدا</t>
  </si>
  <si>
    <t>مشاعرك ليست زبائن عندي كي أرعاها</t>
  </si>
  <si>
    <t>لعيون الأردن من أجل الله اذهبوا هناك تشويش واضح</t>
  </si>
  <si>
    <t>هذا حالي خذني مع المال أو بدونه</t>
  </si>
  <si>
    <t>فقط والله هكذا اثنتان شاورما ومن ثم صحن كنافة نابلسية يساوي ثقلهن ذهبا</t>
  </si>
  <si>
    <t>رأيك ما الذي يشاهدوه ليكونوا فرحين هكذا؟</t>
  </si>
  <si>
    <t>لا بذلك تريد أن تطيل في عمره أرجوك ابحث عن وصفة أخرى</t>
  </si>
  <si>
    <t>نعم أنا لا أفعل هذا حتى لا تفرض مخالفة على عائلتي كلها</t>
  </si>
  <si>
    <t>لماذا أنت مستعجل؟ هذا ليس جيدا لصحتك</t>
  </si>
  <si>
    <t>حسنا كم أنا دب جيد هكذا</t>
  </si>
  <si>
    <t>هل تعتقد أنني لست متألما لأنني لا أتكلم؟</t>
  </si>
  <si>
    <t>الورد لا يذبل إلا إذا احتضنه أحد ولذلك أنا لا أحب الحضن</t>
  </si>
  <si>
    <t>أوصل بك الأمر هكذا يا حازم أن تطعنني في ظهري؟</t>
  </si>
  <si>
    <t>لتكون قويا في لبنان يجب أن تمتلك ثروة غير ذلك ستعيش ذليلا</t>
  </si>
  <si>
    <t>المفروض هكذا هناك أشخاص يريدون أن يذهبوا</t>
  </si>
  <si>
    <t>سلمت شكرا جزيلا لقد أخجلتني لم أعد قادرا على الكلام</t>
  </si>
  <si>
    <t>المفروض أن نعمل فقرة تتكلم فيها هكذا يا بوب تعال في الليل</t>
  </si>
  <si>
    <t>كيف بيجيهم اولاد يا رجل واي فاي مثلا</t>
  </si>
  <si>
    <t>لا أريد أن أجعلك هكذا دون أن تفهم شيئا</t>
  </si>
  <si>
    <t>حسبي الله ونعم الوكيل ولكن والله حرام نشر مثل هذه الصورة</t>
  </si>
  <si>
    <t>مشكورين أنا قلت ربما هكذا لأنكم لم توضحوا شكرا جزيلا</t>
  </si>
  <si>
    <t>ماذا تريدين منه؟ ادعي لنفسك ولنا دعوة جيدة بأن لا نلتقي به في أي جيل</t>
  </si>
  <si>
    <t>لا أستطيع دعني هكذا أفضل</t>
  </si>
  <si>
    <t>من الجيد أنني ذاهبة إلى النوم كنت سأربح صمتا ليس جميعهم هكذا واحدا تلو الآخر</t>
  </si>
  <si>
    <t>لا تقل إن ظروفي لا تسمح هناك أشخاص ظروفهم كانت أسوأ ومع ذلك نجحوا وأصبحوا أفضل</t>
  </si>
  <si>
    <t>هل هناك أماكن جيدة عندما لا يكون الطقس جيدا؟</t>
  </si>
  <si>
    <t>الله يجبر خاطرك على هذا الكلام أريد أن أتواصل معك كل يوم وأزعجك أيضا</t>
  </si>
  <si>
    <t>ليس هكذا كل مرة ما هذا الشيء</t>
  </si>
  <si>
    <t>انظري في عيني لأرى ماذا تريدين أن تري في عين لم يعد فيها أصل للحياء</t>
  </si>
  <si>
    <t>من يمشي على مبدأ الكل يفعل ذلك ينقصه الكثير من الفهم</t>
  </si>
  <si>
    <t>لماذا لا يمكن للشخص أن يقوم بتمارين لأنفه لكي يصبح مشدودا وجذابا</t>
  </si>
  <si>
    <t>اهاب يقف بكل رجولة مع ساهو</t>
  </si>
  <si>
    <t>يا ربي هذا الرافي يجنن قالها حقا أحسست هكذا لو أخذت اللقب كأنني أنا</t>
  </si>
  <si>
    <t>حسنا ضعهم في كيس لأني لا أستطيع حملهم هكذا</t>
  </si>
  <si>
    <t>بالله عليك إذا هي ليست أنا هي أنت هكذا تريدني؟ سلمت يا معلم</t>
  </si>
  <si>
    <t>هل تعرف ذلك الشخص الذي يكون حظه سيء نحنكذلك كشعب كامل هأهأ</t>
  </si>
  <si>
    <t>لأجل ذلك أحب هؤلاء البشر الذين تشعر بأنهم عديمو الشعور لأنهم أمامك وخلفك نفس الشيء</t>
  </si>
  <si>
    <t>هكذا يعيشون مثل طحالب المستنقعات يجب التقطير للتخلص من هذه الشوائب</t>
  </si>
  <si>
    <t>أبو حسين كيف تدعس على رقبتي هكذا؟ سنافيات</t>
  </si>
  <si>
    <t>لا أسمح لكم أن تتحدثوا عن سارة هكذا ما خطبكم؟</t>
  </si>
  <si>
    <t>كنترول ضع على سهيلة وإيهاب لماذا عندك مشكلة معنا؟</t>
  </si>
  <si>
    <t>ليس هكذا يا نانسي أنا ناعمة مثلك كلك عمليات تجميل</t>
  </si>
  <si>
    <t>كأن المخرجين قد عموا عن هكذا ثنائي رائع</t>
  </si>
  <si>
    <t>لا يوجد ولا يجب أن يفتحوا في هذا الطقس</t>
  </si>
  <si>
    <t>أقصد تهدئة النفوس مابك هكذا تتحدث عني</t>
  </si>
  <si>
    <t>نعم بالضبط هكذا أفضل شيء</t>
  </si>
  <si>
    <t>نعم أريدك هكذا رجل بمعنى الكلمة حسنا تصبح على خير إن شاء الله</t>
  </si>
  <si>
    <t>انظري شوق نبيه لا يقال له هكذا</t>
  </si>
  <si>
    <t>السعودي نعجة وخروف لذلك الكل يضحك عليه ويأخذ نقوده</t>
  </si>
  <si>
    <t>أعوذ بالله نعم للعنوسة إذا كان الأمر كذلك</t>
  </si>
  <si>
    <t>هنالك اناس احبهم كثيرا بلا مقابل</t>
  </si>
  <si>
    <t>أنا كنت أتكلم عن طفل عمره 10 سنوات مشترك في ذا فويس</t>
  </si>
  <si>
    <t>يا رب استودعتك الإنسانة التي في قلبي يا رب احمها من هذا الجو المخيف</t>
  </si>
  <si>
    <t>مرة وضع أحدهم قنبلة تحت مخدته لماذا؟ لكي يفقع نوما تن تن ترارا تن تن</t>
  </si>
  <si>
    <t>نعم يبدو أنها أصبحت هكذا حتى الآن لم ترد علينا</t>
  </si>
  <si>
    <t>لماذا تمر العطلة بسرعة هكذا؟</t>
  </si>
  <si>
    <t>نعم معك حق كلهم هكذا عندما تعاملينهم بالمثل لا يرضون</t>
  </si>
  <si>
    <t>عندما تعودوتنزعه المره القادمه سنفعل هكذا وناكل ميوت</t>
  </si>
  <si>
    <t>لان منطقتها التي تسكن بها يرقصون هكذا رقص نايلي</t>
  </si>
  <si>
    <t>اجتماع عالي لتقرير إذا كان هناك دوام والدوام سيبدأ عاليا</t>
  </si>
  <si>
    <t>لا أعرف لذلك أحاول أن أقنعك أمي قد كبرت</t>
  </si>
  <si>
    <t>هناك صوت جميل هكذا يا جسار ما أجمل البحة</t>
  </si>
  <si>
    <t>لأنني أتسلى الله يريني بلايا</t>
  </si>
  <si>
    <t>هناك أناس يأتون في حياتك لكي يعلموك أنك لا تثق بأحد بسهولة</t>
  </si>
  <si>
    <t>يا كنترول لماذا هكذا؟ لماذا عاد إليهم؟</t>
  </si>
  <si>
    <t>لم أر أمي منذ زمن وأول كلمة قالتها لي كانت لماذا تلبس هكذا في هذا الجو؟</t>
  </si>
  <si>
    <t>كل عام وأنت متواضع مثل هذا يا أبو قوس.</t>
  </si>
  <si>
    <t>لكي لا تقول بعد عشر سنوات يا ليتني فعلت هكذا، يجب أن نخاطر قليلاً.</t>
  </si>
  <si>
    <t>الأفضل أن تأتي لترتاح وتأخذ حقك.</t>
  </si>
  <si>
    <t>نريد أن نعيش حياة حقيقية جميلة، لكن هكذا.</t>
  </si>
  <si>
    <t>أنا أتحدث من خلال تجربة كانت ستنهي حلم حياتي، ولكن الحمد لله الحب أقوى.</t>
  </si>
  <si>
    <t>الأشياء الحلوة دائمًا لا تأتي بسرعة، بل تحتاج إلى صبر حتى نفرح في النهاية.</t>
  </si>
  <si>
    <t>الله لا يسامح من كان السبب في إذلالنا من أجل المركز.</t>
  </si>
  <si>
    <t>هكذا سأريحك والباب الذي يأتي منه الريح سأغلقه وأستريح.</t>
  </si>
  <si>
    <t>هؤلاء الذين يفكرون بهذه الطريقة هم في قمة الجهل.</t>
  </si>
  <si>
    <t>هكذا حدث شيء آخر</t>
  </si>
  <si>
    <t>أختي يجب أيضًا عليها أن تحافظ على نظافة ملابسها دائمًا.</t>
  </si>
  <si>
    <t>عندما استيقظت من النوم بسبب الحلم، وفي النهاية نسيته.</t>
  </si>
  <si>
    <t>هذه الصورة أنا وأمك نقوم بتعليقها لأنها تحب ذلك.</t>
  </si>
  <si>
    <t>هناك العديد من الأشخاص الذين عندما فقدتهم، ندمت على كل فرصة كانت تأتيني لأخسرهم وضيعتها.</t>
  </si>
  <si>
    <t>ومن أين يا عيني سيأتي التفاؤل؟ لهذا السبب لم أرد أن أحبطكم.</t>
  </si>
  <si>
    <t>هكذا يحدث دائمًا.</t>
  </si>
  <si>
    <t>مفلسون من الأساس، لولا ذلك، لما باعوا شرفهم، ولكن تفلست السعودية.</t>
  </si>
  <si>
    <t>إيهاب، توجناك باللقب، تستحق أكثر من ذلك يا عزيزي.</t>
  </si>
  <si>
    <t>ولكن بالطبع نحن نبرأ من مثل هذا العالم الخائن.</t>
  </si>
  <si>
    <t>لا يبقى حرام، لا أستطيع فهم لماذا هكذا، لماذا</t>
  </si>
  <si>
    <t>هكذا أصل إلى ال٪ وأنجح إن شاء الله، الله يبارك فيكِ يا رب.</t>
  </si>
  <si>
    <t>إذا كان الأمر هكذا، فهذا جيد جدًا.</t>
  </si>
  <si>
    <t>انسَََََََََََََََ</t>
  </si>
  <si>
    <t>صحيح، هناك أشخاص يفكرون بهذه الطريقة، للأسف.</t>
  </si>
  <si>
    <t>إذا كان الأمر هكذا، حسناً، العبي معنا هذه اللعبة.</t>
  </si>
  <si>
    <t>أنتِ قلتِ لا تسلكي هذا الطريق، لذلك سأغير كلمة المرض إلى الماضي.</t>
  </si>
  <si>
    <t>فضلاً، والله لا ينبغي لأحد أن ينساه، ومن يقول غير ذلك وينكر هذا فهو قليل الأصل.</t>
  </si>
  <si>
    <t>عندما قالوا هكذا، كان قصدهم أن الكمال لله.</t>
  </si>
  <si>
    <t>لو كان هناك حبوب دواء تعالج هذه الحالة المجتمعة من الجوع والتعب والنعاس.</t>
  </si>
  <si>
    <t>الفتاة الأكثر حظاً هي التي يحبها شاعر، ماذا تريدين أكثر من ذلك؟</t>
  </si>
  <si>
    <t>العفو، أنت تستحق أكثر من ذلك يا عسل.</t>
  </si>
  <si>
    <t>نفس كلامنا ليس جميلًا ليُغنى هذه الأغنية أمام طفل.</t>
  </si>
  <si>
    <t>ماذا تريدين أن تخبئي؟ أضأتِ يا بطة القبيحة، غيابك كان طويلاً.</t>
  </si>
  <si>
    <t>لا تطول فيه أبدًا، من فضلك، ابحث عن وصفة أخرى.</t>
  </si>
  <si>
    <t>عشو مستعجل، لا أريد أن أسألك هكذا من أجل صحتك.</t>
  </si>
  <si>
    <t>لتكون قويًا في لبنان، يجب أن تمتلك ثروة، وإلا ستعيش في الذل.</t>
  </si>
  <si>
    <t>لا أريدك أن تبقى بهذه الطريقة، لا تفهم شيئاً.</t>
  </si>
  <si>
    <t>حسبي الله ونعم الوكيل، ولكن بالله حرام نشر مثل هذه الصورة.</t>
  </si>
  <si>
    <t>شكرًا لكم، قلتُ ربما يكون الأمر كذلك لأنكم لم توضحوا، جزيل الشكر.</t>
  </si>
  <si>
    <t>في أماكن جيدة للتمتع بالطقس عندما يكون سيئًا.</t>
  </si>
  <si>
    <t>حسنًا، لماذا لا يقوم الشخص بممارسة التمارين الرياضية لمنطقة الأنف ليصبح مشدودًا وجذابًا؟</t>
  </si>
  <si>
    <t>تعرف هذا الشخص الذي يكون محظوظًا وحظه سيء؟ نحن كشعب بهذه الطريقة.</t>
  </si>
  <si>
    <t>هكذا يعيشون مثل طحالب البرك، يجب تقطيرهم ليتخلصوا من هذه الشوائب.</t>
  </si>
  <si>
    <t>أبو حسين، كيف تدوس على رقبتي بهذه السنافيات؟</t>
  </si>
  <si>
    <t>أعذرنا، هل يمكنكم التحدث عن سارة هكذا لدينا؟</t>
  </si>
  <si>
    <t>التحكم وضع على سهيلة وإيهاب، لماذا لديك مشكلة معنا؟</t>
  </si>
  <si>
    <t>ما تكوني هيك يا نانسي، ناعمة مثلي، كلك عمليات تجميل.</t>
  </si>
  <si>
    <t>قصدي أن أهدي النفوس مالك، هكذا تتحدث عني.</t>
  </si>
  <si>
    <t>آيوا بالضبط هكذا هو الأفضل.</t>
  </si>
  <si>
    <t>أعوذ بالله، نعم للعنوسة إذا هكذا.</t>
  </si>
  <si>
    <t>أنا كنت أتحدث عن ولد عمرو الذي شارك في برنامج "ذا فويس" لمدة 10 سنوات.</t>
  </si>
  <si>
    <t>لماذا تمر الإجازة بهذه السرعة؟</t>
  </si>
  <si>
    <t>هناك أشخاص يأتون إلى حياتك ليعلموك أنك لا تثق بأحد بسهولة.</t>
  </si>
  <si>
    <t>كل عام وأنت متواضع هكذا يا فتى .</t>
  </si>
  <si>
    <t>شكراً جزيلاً لقد استفدت من خبرتك في مجال تسجيل الطلبات .</t>
  </si>
  <si>
    <t>الجوع يجعلهم يستيقظون قبل أن يأكلوا الفطور .</t>
  </si>
  <si>
    <t>هل هذه النقطة غامضة ؟ لا أعلم لماذا تظهر كل عام وأنت تحفظها يا رب</t>
  </si>
  <si>
    <t>حتى لا تقول بعد عشر سنوات يا ريتني لقد فعلت ذلك يجب أن نخاطر قليلاً</t>
  </si>
  <si>
    <t>لقد تم تحميل واتساب على نفس البرنامج ، ولكن لا أحد يستطيع تحميله على نفس الشكل .</t>
  </si>
  <si>
    <t>من الأفضل أن تستريح و تأخذ ما هو لك .</t>
  </si>
  <si>
    <t>فليعلمنا الله ما الذي سنفعله لكي تعيش في هذا المجتمع يجب أن تكون شهادة</t>
  </si>
  <si>
    <t>نعم ، هذه هي الفكرة . ماذا يمكن أن أحصل عليه غير هذا ؟</t>
  </si>
  <si>
    <t>يا لها من مفاجأة سهلة ومفيدة .</t>
  </si>
  <si>
    <t>لقد أصبح كل محب يقترب وكل مكروه يجرّب</t>
  </si>
  <si>
    <t>ربما تكون قد أخطأت مع بلدي وأحبك أكثر مما أحببت غير ذلك .</t>
  </si>
  <si>
    <t>نريد أن نعيش حياة حقيقية جميلة فقط .</t>
  </si>
  <si>
    <t>وأنا متأكد أن هذا الطفل اليمني سوف يطرد كل الكلاب .</t>
  </si>
  <si>
    <t>هكذا تتصل بأمك الآن . لا يوجد زواج .</t>
  </si>
  <si>
    <t>أود أن أظل أقول لك أنت هكذا أو أن نظامك هكذا .</t>
  </si>
  <si>
    <t>آسف ، لكن الأطفال لا يعرفون كيف يريدون أن يظهروا ، وإلا فإنهم لن يستطيعوا أن يفعلوا هذه الحركات .</t>
  </si>
  <si>
    <t>و لكن ليس هذا فقط و أنت و رحلة تقول أورفوار يعني أن تقتله كلاس</t>
  </si>
  <si>
    <t>لا ، ولكننا لم نرى الشعاع هكذا يا محمد لقد أغلقت الشعاع .</t>
  </si>
  <si>
    <t>لأنك معقد يمكنك أن تنتمي إلى حزب واحد هكذا تصبح ولكن مثل بعضهم البعض وطبيعي</t>
  </si>
  <si>
    <t>لا تتركني هكذا أبحث عنك في وهم و أصرخ باسمك .</t>
  </si>
  <si>
    <t>الآن يقولون بأن جبال الأردن عندما يصل مستوى سطح البحر ، فإنها تنزل من فوقنا .</t>
  </si>
  <si>
    <t>لماذا يحدث هذا لي ؟ والله لم أؤذي أحداً أو أؤذي أحداً في حياتي .</t>
  </si>
  <si>
    <t>عصابة أنيس تحب فلسطين يا إلهي لقد أرسلتها إليكم إلى فلسطين إذاً هذا هو الفانز</t>
  </si>
  <si>
    <t>أنا أتحدث عن تجربة واقعية كانت ستؤدي إلى حلم حياتي ولكن الحمد لله الحب أقوى</t>
  </si>
  <si>
    <t>لقد أفتقدنا في تغريداتك يا بيك . ماذا تريد أن تقول ؟ فقط قل ما هو مهم .</t>
  </si>
  <si>
    <t>الحساب والسداد والوكيل على هذا العيش الكهربائي أصبح إهانة وإهانة</t>
  </si>
  <si>
    <t>الأشياء الجميلة دائماً ما تأتي بسرعة ، لذلك لا بد أن نتحلى بالصبر حتى النهاية .</t>
  </si>
  <si>
    <t>الله لا يغفر لمن كان السبب في إهانة أفراد الكلية .</t>
  </si>
  <si>
    <t>هكذا أريحك و الباب الذي يأتي منه ينفجر . إغلق الباب و استرح .</t>
  </si>
  <si>
    <t>هل هذا لطيف منك أن تخلعه لي ؟</t>
  </si>
  <si>
    <t>أنا أعرف أن العظيم ليس مجرد رجل يصلح لنا في الأيام الصعبة .</t>
  </si>
  <si>
    <t>هؤلاء الذين يعتقدون أن هذا هو القمة متأخرون .</t>
  </si>
  <si>
    <t>وبالرغم من أننا في الجزائر كل شيء موجود وبالرغم من ذلك نحن دائما نشتكي من عدم إعجابنا بالعجائب</t>
  </si>
  <si>
    <t>هذا هو الأمر الآخر .</t>
  </si>
  <si>
    <t>أختي كذلك . يجب أن ترتديها دائماً .</t>
  </si>
  <si>
    <t>كل ما عرفته كان الرياضيات ، ومع ذلك لم أكن أحبها .</t>
  </si>
  <si>
    <t>أنا لا أُقذّر هذا المخلوق الذي اسمه النمر الذي يُفترض أن يُسمى القملة أي هكذا يَكْكه عليه</t>
  </si>
  <si>
    <t>إنه يدمر منزلك هكذا . أبيات قمة في المعنى عشرة من عشرة .</t>
  </si>
  <si>
    <t>ماذا يمكن أن يكون أكثر من ذلك يا سيدي ؟ من فضلك أرني بعض الأشياء التي تخص أختي اليرموك .</t>
  </si>
  <si>
    <t>وبالطبع يجب أن يكون هذا هو ما يشعر به .</t>
  </si>
  <si>
    <t>وكذلك أنا استيقظت من نومي دون أن أحلم وبالنهاية نسيت ذلك .</t>
  </si>
  <si>
    <t>هذه هي الصورة التي التقطتها أنا وأمك لأن هذا ما تريده .</t>
  </si>
  <si>
    <t>أتساءل لماذا يحدث هذا لي في ثانية واحدة فقط ، لأن هذا ما يستحقه .</t>
  </si>
  <si>
    <t>هناك الكثير من الناس الذين عندما أفقدهم ، أندم على كل فرصة كانت تعطيني ، ولم أفقدهم .</t>
  </si>
  <si>
    <t>ليس لدي سوى إجابة على اختبار الحكمة الإلهية ، هذا ما يريده طنشي</t>
  </si>
  <si>
    <t>الأردني ، كيف أدعوه ؟ يا إلهي ، يا إلهي .</t>
  </si>
  <si>
    <t>إنه يعني لي حقاً أنه فعل ذلك عندما لم أنم . لقد ظهر هذا العام يسمى نجم النوم .</t>
  </si>
  <si>
    <t>ومن أين يأتي تفاؤلي يا عيني ؟ من هنا لا أريد أن أخيب أملكم</t>
  </si>
  <si>
    <t>لهذا السبب لم أعد تغريد على تويتر .</t>
  </si>
  <si>
    <t>هكذا يبدو دائماً .</t>
  </si>
  <si>
    <t>قطة الشارع عينه على فافينا في شيء يسمى القتل الرحيم ، أليس كذلك ؟</t>
  </si>
  <si>
    <t>إذاً ، سأطلب منك أن تذهب . أبلغي تحياتي .</t>
  </si>
  <si>
    <t>أتمنى لك أن ترتاح أكثر مما تتوقع .</t>
  </si>
  <si>
    <t>إنهم مفلسون تماماً وإلا لما باعوا شرفهم للفلسطينيين</t>
  </si>
  <si>
    <t>لقد توقعت هذا السؤال . لدي قصراً .</t>
  </si>
  <si>
    <t>يقول مارسيلينو إن هادي يضحك على أي شيء يمكن هضمها .</t>
  </si>
  <si>
    <t>هكذا كان الأمر بالأمس عندما سرقته ، و هكذا كان الأمر عندما قال لي أنك سرقته .</t>
  </si>
  <si>
    <t>لقد منحتك لقبًا أكثر من ذلك يا عزيزي .</t>
  </si>
  <si>
    <t>ها هو ، يا إلهي . هيملالي ، و الحبل على الجرار .</t>
  </si>
  <si>
    <t>لكن بالتأكيد نحن نتخلص من هذا في عالمنا .</t>
  </si>
  <si>
    <t>أريد أن أطلب من المراقبين اليوم ارتداء الماوسة ميكي في اختبارهم الأخير .</t>
  </si>
  <si>
    <t>لقد خرجت في وقت مبكر جداً من غياب أم وأحد الأصدقاء الذي قال أحلاماً سعيدة .</t>
  </si>
  <si>
    <t>الطعام الذي يقدم على المتسافر المتعب ليس كذلك ، لذلك قم بتحويله إلى حلوى .</t>
  </si>
  <si>
    <t>لا أحب أن أتحدث هكذا عندما يتحدث شخص آخر معي ، ولكن أنت شاك .</t>
  </si>
  <si>
    <t>هذا صحيح ، وكل من يقول خلاف ذلك فهو يشاهد برنامجاً آخر .</t>
  </si>
  <si>
    <t>لم يعد هذا محرماً . لا أستطيع أن أفهم لماذا هذا غير صحيح .</t>
  </si>
  <si>
    <t>هذا واحد من ألف ، كما رأيت ، ولكن هذا على العكس من ذلك .</t>
  </si>
  <si>
    <t>لا ، أنا فقط أشاهد أفلاماً كثيرة تؤثر على .</t>
  </si>
  <si>
    <t>مثل هذه الأيام ، أكل وشرب ونام أحلى من أي يوم مضى .</t>
  </si>
  <si>
    <t>أتمنى أن أراك وأخبرك أنني كذلك ولن أتغير إلى رمال سوداء في عيون أحد</t>
  </si>
  <si>
    <t>أنا مكيف عليها مشان أخد نايل وتعود لين ليرجاها قصة حب</t>
  </si>
  <si>
    <t>شكراً على الإسراع في الوصول .</t>
  </si>
  <si>
    <t>تحياتي يا قلبي واكثر من هذا الكلام الله لا يحرمني من هذا الحب</t>
  </si>
  <si>
    <t>نانسي عجوز بما فيه الكفاية لتلبية احتياجاتك . ماذا تريد أكثر من ذلك ؟</t>
  </si>
  <si>
    <t>بالرغم من أنني رأيت مقالتك من قبل ، وسررت برؤيتها ، وسررت الآن أيضاً .</t>
  </si>
  <si>
    <t>شكراً ، لقد كان الجليد خفيفاً في الصباح ، ومازالت الشمس باردة .</t>
  </si>
  <si>
    <t>هكذا أصل إلى المئة وأنجح ، وبارك الله فيك يا رب .</t>
  </si>
  <si>
    <t>أفضل شيء هو أن يتعلم المرء كيف يتهجأ ، وإلا فلتنسى ذلك .</t>
  </si>
  <si>
    <t>لا تفكر كثيراً في هذا البلد ، فصديق اليوم هو عدو الأمس ، والعكس صحيح .</t>
  </si>
  <si>
    <t>سوف يلتقي الحكيم غداً ليصدر قراراً ضد ذلك .</t>
  </si>
  <si>
    <t>لماذا أيقظك حتى تقتلني وتتعرض للهجوم علي ؟ هل تريد أن أوقظك ؟</t>
  </si>
  <si>
    <t>إذاً هذا جيد جداً .</t>
  </si>
  <si>
    <t>لقد قلّصنا الكثير من الوقت الذي نقضيه في السير .</t>
  </si>
  <si>
    <t>إن الرياح الأكبر من ذلك هي الإستفتاءات التي لا بد أنها تعود بقوة أو تعزية للمحبطين .</t>
  </si>
  <si>
    <t>قم بتصفية ما تريد منهم و اتركه في حجرتهم و استمتع .</t>
  </si>
  <si>
    <t>ليس هكذا . أنا متأكد أنه لا يمكن أن يصل إلى هناك .</t>
  </si>
  <si>
    <t>حسناً ، هناك أناس يعتقدون ذلك لسوء الحظ .</t>
  </si>
  <si>
    <t>كرز و أطلله مثل كرز .</t>
  </si>
  <si>
    <t>إذاً ، حسناً ، لعب معنا . مرحباً بك .</t>
  </si>
  <si>
    <t>منذ فصل واحد فقط كان هذا ما طلبته من أن أعمل معك في المقدمة .</t>
  </si>
  <si>
    <t>نحن دائما نثق بالغرباء لأنهم لم يخدعونا من قبل .</t>
  </si>
  <si>
    <t>هذا ما نحن عليه الآن ، لا تغيير ، لا ثورات ، نعم للحروب .</t>
  </si>
  <si>
    <t>سأفعل ذلك . لا أريد أن أكون جميلة حتى أشعر بالخجل من وجهك .</t>
  </si>
  <si>
    <t>لقد قلت أنه لا يوجد تسجيل لذلك سأترك لك كلمة مرض في الماضي</t>
  </si>
  <si>
    <t>يقولون الحقيقة عادةً ، أنت تقولها كثيراً . أنت غير محترم ، يا فتاة .</t>
  </si>
  <si>
    <t>لماذا أكون مع الشخص الذي أحب حقاً ؟</t>
  </si>
  <si>
    <t>أنت مجنون وتريد ذلك . إذا كنت مجنونًا ، فأنا لا أريد أن أعرف ما تريد .</t>
  </si>
  <si>
    <t>من فضلك ، لا تنسوا أن يقولوا غير ذلك و ينكروا ذلك . هذا ليس صحيحاً .</t>
  </si>
  <si>
    <t>ويقولون بأن الكمال لله</t>
  </si>
  <si>
    <t>لنذهب ، سنكون متأخرين قليلاً ، سنعود إلى الوراء .</t>
  </si>
  <si>
    <t>إذا كان هناك حبوب منع الحمل ، فستكون علاجها الجوع ، التعب ، النوم .</t>
  </si>
  <si>
    <t>ربما لا يجب أن تكون حذراً لأن ذلك قد يكون تفسيرًا خاطئاً .</t>
  </si>
  <si>
    <t>حسناً ، لا تبكي كثيراً ، وسوف تخرج من برنامج هذا الأسبوع . أنت تبدو في حالة سيئة .</t>
  </si>
  <si>
    <t>لماذا يفتقدني الرجال أكثر من الفتيات ؟</t>
  </si>
  <si>
    <t>أراك في العاشرة . هذا برنامج رائع ، لقد بدأت به بشكل جيد .</t>
  </si>
  <si>
    <t>من المحتمل أن يكون هناك أشخاص يطمئنك سماع أصواتهم فقط .</t>
  </si>
  <si>
    <t>يا لها من فتاة محظوظة أن يحبها شاعر . ماذا تريد أكثر من ذلك ؟</t>
  </si>
  <si>
    <t>بالتأكيد سوف تنسى أن تأكل على النار ونموت جميعاً . هذا ما أعنيه .</t>
  </si>
  <si>
    <t>اللعب على اثنين من الأوتار نعرفها فقط إنها أربعة وخمسة وستة أوتار أيضاً</t>
  </si>
  <si>
    <t>الشيء الأهم هو مسحها باليد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 ، لا</t>
  </si>
  <si>
    <t>ولقد رأيت هذا الطبق من قبل ولم يكن لدي أي فكرة عن ماهيته .</t>
  </si>
  <si>
    <t>من صحبة مولانا مولانا هكذا علمنا</t>
  </si>
  <si>
    <t>كل ما نطلبه من الحياة هو أن تضيعها هكذا ولا تزداد سوءاً .</t>
  </si>
  <si>
    <t>هل لي أن أطلب منك شيئاً ؟ سأحاول أن أنسى ذلك . من فضلك ، لا تلمس خدي .</t>
  </si>
  <si>
    <t>هكذا بدأت وتفوق على نفسك .</t>
  </si>
  <si>
    <t>لا ، ليس كذلك . وأنا أحبك كثيراً .</t>
  </si>
  <si>
    <t>هل تفهمني ؟ إن كان الأمر بهذه البساطة ، لن يزول الأمر .</t>
  </si>
  <si>
    <t>آسف ، أنت تستحق أكثر من ذلك يا عزيزي .</t>
  </si>
  <si>
    <t>نفس كلامنا ، ليس من الجيد أن يغني مثل هذه الأغنية أمام طفل .</t>
  </si>
  <si>
    <t>ماذا تريد أن تفعل ؟ أنت تشتكي كثيراً يا عزيزتي .</t>
  </si>
  <si>
    <t>مشاعرك ليست جيدة . يجب أن أعتني بها .</t>
  </si>
  <si>
    <t>لقد ذهبوا إلى الأردن ، لكن الله لم يتركهم . لقد كان هناك اضطراب واضح .</t>
  </si>
  <si>
    <t>هذا هو الحال . خذني مع أموال أو بدون .</t>
  </si>
  <si>
    <t>لكن بالله عليك ، أنت تشتري شاورما و بعدها طبق مثل شاورما نابولي الذي يُمكن أن يُسمّى بالذهب .</t>
  </si>
  <si>
    <t>أخبرك بما يشاهدونه حتى يكونوا سعداء .</t>
  </si>
  <si>
    <t>لا ، هذا هو ما تريد أن تزدهر به حتى يصل عمرك . من فضلك ، بدّل الوصفة .</t>
  </si>
  <si>
    <t>آه ، أنا لا أفعل ذلك لتعويض عائلتي كلها .</t>
  </si>
  <si>
    <t>لا تتسرع في السؤال عن صحتك .</t>
  </si>
  <si>
    <t>حسناً ، أنا دب جيد جداً .</t>
  </si>
  <si>
    <t>هل تعتقد أن عدم وجود أي ألم يعنيه أن لا يكون هناك أي ألم ؟</t>
  </si>
  <si>
    <t>الوردة لا تذبل إلا إذا حضنها شخص ما . لهذا السبب أنا لا أحب الحضانة .</t>
  </si>
  <si>
    <t>لقد حصلت على أفينتادور يا حازم . لقد طعنتني في ظهري يا حازم .</t>
  </si>
  <si>
    <t>لتكون قوياً في لبنان يجب أن يكون لديك ثروة وإلا ستعيش في هدوء</t>
  </si>
  <si>
    <t>هكذا ينبغي أن يكون الناس عندما يذهبون .</t>
  </si>
  <si>
    <t>شكراً جزيلاً لك . أخشى أنني لا أستطيع التحدث بعد الآن .</t>
  </si>
  <si>
    <t>يجب أن نكتب فقرة تتكلم هكذا يا بوب . تعال الليلة .</t>
  </si>
  <si>
    <t>كيف يصلون إلى الأطفال ، يا فتاة واي فاي ؟</t>
  </si>
  <si>
    <t>لا أريد أن أبدو هكذا ، ولا أريد أن أفهم شيئاً .</t>
  </si>
  <si>
    <t>الحمد لله و نعم أيها الوكيل ولكن الله حرم نشر مثل هذه الصورة</t>
  </si>
  <si>
    <t>شكراً . لقد قلت لك هذا لأنني كنت على وفاق معك . شكراً جزيلاً لك .</t>
  </si>
  <si>
    <t>ماذا تريد في ذلك ؟ دعونا نرحب بك ، دعونا نرحب بك ، ونتقابل في أي وقت .</t>
  </si>
  <si>
    <t>لا أستطيع أن أجد طريقة أفضل .</t>
  </si>
  <si>
    <t>من الجيد أن تكوني قد حصلت على درجة نوم جيدة ، ليس كل مرة على التوالي .</t>
  </si>
  <si>
    <t>لا تتحدث عن حالتي ، لا تسمح لأشخاص حالتهم أسوأ من ذلك ، لكنها نجحت .</t>
  </si>
  <si>
    <t>هناك أماكن جيدة للمشي فيها عندما يكون الجو سيئاً .</t>
  </si>
  <si>
    <t>الله يفرض عليك ذلك ، لذا أريد أن أتواصل معك كل يوم وأزعجك أيضاً .</t>
  </si>
  <si>
    <t>أليس هذا كل مرة ؟ هذا مقرف .</t>
  </si>
  <si>
    <t>انظر إلي لترى ما تريد أن تراه في كل مكان في حيّك .</t>
  </si>
  <si>
    <t>أتبع مبدأ أن كل ما يفعله الآخرون هو أن يكونوا أقل تفاهمًا بكثير .</t>
  </si>
  <si>
    <t>حسناً ، لماذا لا يقوم شخص ما ببعض التمارين لأن أسنانهم تصبح مشدودة وتبدو جذابة ؟</t>
  </si>
  <si>
    <t>إنه يحب كل رجاله يقفون إلى جانب ساهو .</t>
  </si>
  <si>
    <t>يا إلهي ، هذا المجنون يقولها . لقد كنت سأفعل ذلك لو كنت أنا من أخذت اللقب .</t>
  </si>
  <si>
    <t>من فضلك ضعه في كيس لأنني لا أستطيع حمله هكذا .</t>
  </si>
  <si>
    <t>هيا ، إذا لم تكن هذه هي أنا ، فهل تريدني أن أقدم استسلامي ، يا سيدي ؟</t>
  </si>
  <si>
    <t>هل تعرف هذا الشخص الذي يظهر أنه محظوظ و محظوظ ؟ نحن مثله كشعب .</t>
  </si>
  <si>
    <t>لهذا السبب أحب البني الأيمن الذي يشعر بكلمة " ب " لأن مقدمة ظهرك وظهرك متماثلان .</t>
  </si>
  <si>
    <t>إنهم يعيشون مثل طحالب المستنقعات . يجب عليك أن تقطيرهم لتخلصهم من هذه العناصر .</t>
  </si>
  <si>
    <t>أبو حسين ، كيف يمكنك أن تضع هذا السنافيات على رقبتي ؟</t>
  </si>
  <si>
    <t>اسمح لي أن أتركك تتكلم عن سارة . إنها ملكنا .</t>
  </si>
  <si>
    <t>لقد وضعت السيطرة على الويب . لماذا لديك مشكلة معنا ؟</t>
  </si>
  <si>
    <t>ليس هكذا . نانسي لطيفة جداً مع كل ما تمتلك من تجميل .</t>
  </si>
  <si>
    <t>أخبرني إذا كان المخرجون موافقون على إعادة تشكيل الزوجين .</t>
  </si>
  <si>
    <t>لا يمكن ولا ينبغي فتحها في مثل هذا الجو .</t>
  </si>
  <si>
    <t>أعني ، هذا ما تقوله الأرواح عني .</t>
  </si>
  <si>
    <t>هذا هو أفضل ما في الأمر .</t>
  </si>
  <si>
    <t>نعم ، هذا ما أريده منك يا حجاج . أتمنى لك ليلة سعيدة .</t>
  </si>
  <si>
    <t>هل رأيت الحمام ؟ نحن لا نسميه كذلك .</t>
  </si>
  <si>
    <t>السعودي نعجله و خروف مشان هكذا الجميع يضحك عليه و يأخذ منه ماله</t>
  </si>
  <si>
    <t>أرجو أن تكونوا موافقين على ذلك إذاً .</t>
  </si>
  <si>
    <t>ربما يكون هناك أشخاص أحبهم في نهاية المطاف مثل هذا لا شيء .</t>
  </si>
  <si>
    <t>أنا أتحدث عن طفل يبلغ من العمر 10 سنوات شارك في برنامج الصوت</t>
  </si>
  <si>
    <t>يا رب ، لقد احتفظت بك ، يا رب ، إنسانة قلبي . يا رب ، احمها من هذا الجو المريع .</t>
  </si>
  <si>
    <t>وضع أحدهم قنبلة تحت سريره ولم يستيقظ أحد من نومه .</t>
  </si>
  <si>
    <t>نعم ، يبدو أنها كذلك ، لكنها لم ترد بعد .</t>
  </si>
  <si>
    <t>لماذا تمر الإجازة بسرعة ؟</t>
  </si>
  <si>
    <t>نعم ، أنت محق . كل شخص لديه ما يطلبه عندما يعاملونه كما يحلو له .</t>
  </si>
  <si>
    <t>فقط عد إلى تشيلو في المرة القادمة سنفعل ذلك ونأكل بعض الميت .</t>
  </si>
  <si>
    <t>لأن منطقتها التي تعيش فيها رقصهم هو رقص النيل</t>
  </si>
  <si>
    <t>اجتماع في المكتب يقرر إذا كان هناك عمل و يبدأ العمل في الساعة السابعة .</t>
  </si>
  <si>
    <t>لا أعرف كيف أجعلك تعتقد أن أمي كبرت</t>
  </si>
  <si>
    <t>هل يمكن أن يكون هناك صوت جميل مثل هذا يا سيدي ؟ إنه جميل جداً .</t>
  </si>
  <si>
    <t>أنا ذاهب إلى مكان ما لأستمتع به .</t>
  </si>
  <si>
    <t>هناك أناس يأتون إلى حياتك لتعلمك أن لا تثق بأي شخص بسهولة .</t>
  </si>
  <si>
    <t>أنا أفهم لماذا هذا ، لذلك رجعت إليهم .</t>
  </si>
  <si>
    <t>لم أر أمي منذ فترة طويلة ، وكانت أول شيء قالته لي هو لماذا أرتدي هذا في مثل هذا الجو .</t>
  </si>
  <si>
    <t>شكرا جزيلا لك لأنني سأستفيد بالتأكيد من خبراتك في شؤون التسجيل وما شابه ذلك.</t>
  </si>
  <si>
    <t>أنا جائعة؛ دعينا نستيقظ لتناول الإفطار.</t>
  </si>
  <si>
    <t>هل هذه الفتاة غامضة؟ أنا لا أعرف لماذا أشعر بذلك تجاهها. أتمنى لك عيد ميلاد سعيد يا رب.</t>
  </si>
  <si>
    <t>تطبيق واتساب هو البرنامج الأسوأ والأكثر إلحاحاً، ورغم ذلك فلا يمكن لأحد الاستغناء عنه.</t>
  </si>
  <si>
    <t>من الأفضل أن تأتي لكي تشعر بالراحة وتأخذ ما تستحقه.</t>
  </si>
  <si>
    <t>هيا، دعنا نرى ما يمكننا القيام به لكي نعيش في هذا المجتمع؛ فمن الضروري الحصول على شهادة.</t>
  </si>
  <si>
    <t>هذه هي الفكرة، ماذا يمكنني أن أفعل أكثر؟</t>
  </si>
  <si>
    <t>ما الأمر بخصوص المفاجأة الخاصة بسهيلة وإياد لإيهاب؟</t>
  </si>
  <si>
    <t>إذا كانت الأمور تسير بهذه الطريقة، فإن الحبيب يقترب والعدو يحذر.</t>
  </si>
  <si>
    <t>يمكنني خيانة صديقي وأحب أكثر مما تفعل، ولكن بخلاف ذلك فهو أمر مستحيل.</t>
  </si>
  <si>
    <t>أريد أن أقول لك أنك هكذا أو نظامك كذلك.</t>
  </si>
  <si>
    <t>عذرًا يا عزيزتي، إنهم يريدون فقط إظهار أنفسهم بهذه الطريقة.</t>
  </si>
  <si>
    <t>وليس فقط هذا... عندما تذهبين قولي 'أورفوار'.</t>
  </si>
  <si>
    <t>لا ولو طيب ما شفنا المشعوط هكذا يا محمد فركشت لنا الشطوة.</t>
  </si>
  <si>
    <t>لأنك متعصب لحزب معين، تعتقد أننا جميعاً متشابهون وهذا أمر طبيعي.</t>
  </si>
  <si>
    <t>لا تتخل عني هكذا وأنا أبحث عنك بكل ما أملك وأتوهم رؤيتك وأنادي باسمك.</t>
  </si>
  <si>
    <t>الآن، عندما تذهب إلى وادي الأردن، يقولون إن مستوى سطح البحر أقل بكثير. لذلك، هذا أمر رائع للغاية.</t>
  </si>
  <si>
    <t>لماذا يحدث هذا لي؟ لقد عشت حياتي دون أن أجرح أحداً أو أزعل أحدًا.</t>
  </si>
  <si>
    <t>مجموعة أنس تحب فلسطين، اللهم زدنا! لقد تجاوزتم الحدود بها ووصلت بكم الأمر لدعم الفلسطينيين؛ فإذا كانت هذه المجموعة تعتبر نفسها معجبة بهم...</t>
  </si>
  <si>
    <t>أنا أتحدث بناءً على تجربتي الشخصية التي كادت تدمر حلمي الأكبر، ولكن بحمد الله، أثبت الحب أنه أقوى بكثير.</t>
  </si>
  <si>
    <t>حن نفتقد لتغريداتك، أيها الأمير، قل ما تريد قوله، فقط قل شيئا.</t>
  </si>
  <si>
    <t>الله يكفيني وهو خير وكيل لهذه الحياة التي أصبحت فيها الكهرباء مذلة ومهانة.</t>
  </si>
  <si>
    <t>الأشياء الجميلة تأتي ببطء دائمًا؛ فهي تتطلب الصبر لكي نتمكن من الاستمتاع بها لاحقًا.</t>
  </si>
  <si>
    <t>الله لا يسامح الشخص الذي تسبب بذلك؛ إنهم يجعلوننا نشعر بالعار بسبب الدرجة.</t>
  </si>
  <si>
    <t>هذا أكثر راحة بالنسبة لك؛ أغلق الباب الذي يأتي منه الرياح واستمتع بالهدوء.</t>
  </si>
  <si>
    <t>هل هذا جيد جدا بالنسبة لك وأنت غاضب؟</t>
  </si>
  <si>
    <t>أنا أرغب حقا في معرفة العظيم ليس لأي سبب معين ولكن فقط ليكون وسيطا لنا خلال الأوقات الصعبة.</t>
  </si>
  <si>
    <t>هؤلاء الذين يفكرون بهذه الطريقة هم القمة في التخلف.</t>
  </si>
  <si>
    <t>نحن نعيش في الجزائر وكل شيء متوفر هنا، ولكننا نستمر في الشكوى وعدم الرضا بأي شيء.</t>
  </si>
  <si>
    <t>أختي أيضاً، يبدو أنها تحتاج دائماً إلى تلويث ملابسها.</t>
  </si>
  <si>
    <t>الشخص الواحد والوحيد الذي تعرفت عليه كان يدرس الرياضيات ورغم ذلك لم أكن أحبه.</t>
  </si>
  <si>
    <t>ما أكثر قذارة لهذا المخلوق المسمى بالنمر؛ ينبغي حقاً أن يُطلق عليه لقب 'القمل'.</t>
  </si>
  <si>
    <t>ما أروع هذه الأبيات! إنها تعبر بشكل ممتاز جدا.</t>
  </si>
  <si>
    <t>ما بقي شيئ أكثر مما حدث بالفعل؛ اللهم ارفع عنا هذا البلاء! مضايا، أخت اليرموك.</t>
  </si>
  <si>
    <t>لماذا تعتقد أنك الوحيد الذي يشعر بذلك؟</t>
  </si>
  <si>
    <t>ستيقظت للتو بسبب حلم راودني، وفي النهاية نسيت تفاصيله.</t>
  </si>
  <si>
    <t>هذه الصورة لي ولأمك وأنا أرتب شعرها لأنها تحب ذلك.</t>
  </si>
  <si>
    <t>أنا أسأل نفسي لماذا يحدث هذا لي ومن ثم أجيب بنفسي بأنني أستحق ذلك.</t>
  </si>
  <si>
    <t>هناك الكثير من الناس الذين عندما فقدتهم شعرت بالندم تجاه جميع الفرص التي أتيحت لي لفقدانهم ولكنني أضعتها.</t>
  </si>
  <si>
    <t>ليس لديهم سوى رد واحد لاختبار الحكمة؛ يقول الرب أنه يريد منك تجاهل هذا الأمر.</t>
  </si>
  <si>
    <t>الأردني يدعو قائلا: 'يا ربي'</t>
  </si>
  <si>
    <t>هل هذا حقاً ما فعلوه؟ يبدو أنهم لم يناموا أبداً! أعتقد أنه سيكون العام الخاص بـ 'ستار النوم'.</t>
  </si>
  <si>
    <t>ومن أين أتيت بكل هذا التفاؤل؟ لذلك أنا لم أرد أن أحبطكم.</t>
  </si>
  <si>
    <t>لأن هذا ما حدث لي عندما شعرت بالتوتر.</t>
  </si>
  <si>
    <t>هكذا يحدث الأمر دائما</t>
  </si>
  <si>
    <t>قط الشوارع لديه عيون مركزة نحو Favina، هناك ما يسمى بالقتل الرحيم ليس كذلك.</t>
  </si>
  <si>
    <t>إذا كانت هذه الطريقة صحيحة، سأكون بخير. شكرا لك.</t>
  </si>
  <si>
    <t>ذا أردت الراحة فلا تحتاج إلى مثل هذه العلامات التجارية.</t>
  </si>
  <si>
    <t>لقد أفلسوا بالفعل منذ البداية؛ وإلا لما باعوا كرامتهم بمجرد أن تواجه المملكة صعوبات.</t>
  </si>
  <si>
    <t>كنت أتوقع هذا السؤال؛ لدي بيت كبير.</t>
  </si>
  <si>
    <t>مارسلينيو يقول إن هيدي تضحك على كل شيء، هل هناك ما هو أكثر طرافة من ذلك؟</t>
  </si>
  <si>
    <t>نحن بالتأكيد نتبرأ من هؤلاء الأشخاص الذين نعتبرهم أعداء لنا.</t>
  </si>
  <si>
    <t>لماذا تخرج هكذا بدون تحية أو دستور؟ لماذا لا تقول أحلام سعيدة?</t>
  </si>
  <si>
    <t>قد يكون تناول الطعام صعباً بالنسبة للأشخاص الذين يتبعون نظام الصيام المتقطع خلال الرحلات الطويلة للسفر. لذا، يُفضل استبدال الوجبات الرئيسية بوجبات خفيفة.</t>
  </si>
  <si>
    <t>لا أحب هذا عندما أتحدث بطريقة ويتحدث الآخرون بنفس الطريقة؛ لماذا تتدخلين؟</t>
  </si>
  <si>
    <t>الكلام الصحيح ومن يعتقد خلاف ذلك فهو يشاهد برنامجا آخر.</t>
  </si>
  <si>
    <t>ما باقيش الحرام؟ أنا لست قادرة على استيعاب لماذا هكذا.</t>
  </si>
  <si>
    <t>هذه امرأة من أصل ألف أتمنى لو كانت جميع النساء مثلها؛ إنها حقًا ترفع الرأس.</t>
  </si>
  <si>
    <t>أنا فقط أتأثر كثيرا عندما أشاهد الأفلام.</t>
  </si>
  <si>
    <t>الأيام كلها متشابهة؛ الأكل والشرب والعمل والنوم - ليس هناك أكثر مما يمكن القيام به.</t>
  </si>
  <si>
    <t>أنا متحمسة جداً لأنها ستأخذ نبيل وتعود إلى لينا بقصة حب جديدة.</t>
  </si>
  <si>
    <t>أنا سعيد جدا عندما أكون غاضبا ومتحمسا هكذا.</t>
  </si>
  <si>
    <t>الله يسلمك ويحميك أيتها العزيزة الغالية، إن كلماتك هذه تعني لي الكثير وأرجو من الله أن يديم بيننا هذا الحب والمودة.</t>
  </si>
  <si>
    <t>هل هناك أكثر مما يمكن طلبه عندما تكون الفنانة الشهيرة نانسي عجرم على أرضكم؟</t>
  </si>
  <si>
    <t>رغم أنني رأيت صورتك الشخصية سابقا وأفرحتني رؤيتها آنذاك، إلا أني اليوم أيضا سررت برؤيتها مجددا.</t>
  </si>
  <si>
    <t>بيستاهل الحمد نحن فجر اليوم كانت الثلوج خفيفة والآن الشمس مشرقة ولكن ما زالت باردة.</t>
  </si>
  <si>
    <t>بهذه الطريقة سأتمكن من تحقيق النجاح بنسبة %و أتمنى لك التوفيق إن شاء الله.</t>
  </si>
  <si>
    <t>أجمل ما يمكن للإنسان القيام به هو الاكتفاء بما يعرفه ومشاهدة كيفية تصرف الآخرين؛ أما بالنسبة للأمور الأخرى، فلا داعي للقلق بشأنها.</t>
  </si>
  <si>
    <t>لا تتأمل كثيرا، الوضع الحالي للبلد يقول إن الصديق اليوم يمكن أن يكون العدو بالأمس والعكس صحيح.</t>
  </si>
  <si>
    <t>حكيم غدًا يجتمع ضد هذا القرار.</t>
  </si>
  <si>
    <t>ليس هناك أكثر وقاحة مما فعلتِ! لقد هاجمتني بكل قسوة وتريدين الآن أن أصفعكِ أيضا؟</t>
  </si>
  <si>
    <t>نحتاج الكثير من الوقت لنضيعه.</t>
  </si>
  <si>
    <t>نسيم أكبر بكثير مما تظنون وبالتأكيد سيعود بشكل أقوى ولن يكون هناك عزاء لمن يكرهونه</t>
  </si>
  <si>
    <t>هل انتهينا؟ ماذا تريد منهم؟ دعهم يستمرون في الفساد.</t>
  </si>
  <si>
    <t>إذا كانت الأمور كذلك، فلا بأس، العب معنا هذه اللعبة.</t>
  </si>
  <si>
    <t>من أول مرة فقط كانت هذه هي متطلباتك؛ ماذا سنفعل بك فيما بعد؟</t>
  </si>
  <si>
    <t>ديما كنا نصدق الأشخاص الغرباء لأنهم لم يخدعونا أبداً سابقاً.</t>
  </si>
  <si>
    <t>إلى هذا الحد نحن عاطفيون وما زلنا هكذا دون تغير؛ فلا توجد ثورات ونحن نؤيد الحروب.</t>
  </si>
  <si>
    <t>أنا سأفعل هذا لأنني لا أريدها.</t>
  </si>
  <si>
    <t>قلت لك ليس عليك التظاهر بالمرض لذا سأصحح كلمة 'المرض' لتصبح بالماضي</t>
  </si>
  <si>
    <t>يقول البعض أنه يمكنك قول الحقيقة بسهولة؛ كم أنك لست مؤدبًا</t>
  </si>
  <si>
    <t>لماذا يحدث هذا للشخص الأمين والذي يحب بصدق؟</t>
  </si>
  <si>
    <t>إذا كنت تعتقد أنني مجنونة وتريدني أن أكون كذلك، فأنا لست متأكدة مما تريد.</t>
  </si>
  <si>
    <t>قالوا ذلك لأنهم يقصدون أنه فقط الله الكامل.</t>
  </si>
  <si>
    <t>لو يوجد هناك قرص واحد يمكنه معالجة هذه الحالات المجتمعة وهي الجوع والتعب والنعاس.</t>
  </si>
  <si>
    <t>من الممكن أنه بسبب التفسير المسيس للأمر بشكل محتمل.</t>
  </si>
  <si>
    <t>حنان، لن أستطع مساعدتك بالبكاء، وأنت ستغادرين البرنامج للأسبوع القادم. مظهرك ليس جميلاً بهذا الشكل</t>
  </si>
  <si>
    <t>لماذا يشعر بعض الشباب بالغضب عندما يرون الفتيات يستخدمن هذا الهاشتاغ؟</t>
  </si>
  <si>
    <t>أعطي لك عشرة أصابع لهذا البرنامج، رائع جداً! بداية رائعة حقاً.</t>
  </si>
  <si>
    <t>أكثر فتاة محظوظة هي تلك التي يحبونها الشعراء، ماذا يريدون أكثر من ذلك؟</t>
  </si>
  <si>
    <t>نحن نعرف كيف نلعب على حبلي السيرك ولكن الأمر ليس سهلاً عندما يكون هناك أربعة وخمسة وستة أحبال.</t>
  </si>
  <si>
    <t>أهم ما يمكن القيام به هو تنظيف الأنف باليد.</t>
  </si>
  <si>
    <t>والله أول مرة أرى مثل هذا الطبق ليس لدي أي فكرة عنه.</t>
  </si>
  <si>
    <t>من صحبة مولانا، هكذا علمتنا.</t>
  </si>
  <si>
    <t>لا نطلب من الحياة سوى أن تستمر كما هي عليه الآن وألا تزداد سوءا</t>
  </si>
  <si>
    <t>ربما أرغب فيك، ولكنك لست متأكدا مما تريد. سأسعى لنسيانك ولن ألمس خدي مرة أخرى.</t>
  </si>
  <si>
    <t>لقد قمت بعمل رائع ومتفوق جدا</t>
  </si>
  <si>
    <t>لا لست كذلك حقاً أنا أحبك كثيراً يا عزيزتي.</t>
  </si>
  <si>
    <t>هل فهمتك بشكل أفضل الآن؟ الأمر بسيط جدا</t>
  </si>
  <si>
    <t>عفواً، تستحق أكثر من ذلك يا حلو.</t>
  </si>
  <si>
    <t>لا يمكننا التحدث بنفس الطريقة عندما نقوم بالغناء أمام الطفل.</t>
  </si>
  <si>
    <t>ما الذي تريده؟ لقد أضأت المكان بقدومك، فقد كانت فترة غيابك طويلة جدا.</t>
  </si>
  <si>
    <t>مشاعري ليست زبائن لدي لكي أرعاها.</t>
  </si>
  <si>
    <t>من أجل عيون الأردن، سأقوم بالتشويش بوضوح.</t>
  </si>
  <si>
    <t>هذا حالي، خذني كما أنا بالمال أو بدونه.</t>
  </si>
  <si>
    <t>والله فقط اثنين ساندويش شاورما وبعدها طبق الكنافة النابلسي يساوي قولكم الذهب.</t>
  </si>
  <si>
    <t>هل تعتقد أنهم يشاهدون شيئًا يجعلهم سعداء بهذا القدر؟</t>
  </si>
  <si>
    <t>لا تفعل ذلك، بل عليك البحث عن طريقة أخرى أو وصفة مختلفة.</t>
  </si>
  <si>
    <t>أنا لن أفعل ذلك لأتجنب المخالفة لعائلة بأكملها.</t>
  </si>
  <si>
    <t>لا يوجد ما يستحق العجلة؛ هذا ليس جيدًا لصحتك.</t>
  </si>
  <si>
    <t>هل أنا جيد الآن؟</t>
  </si>
  <si>
    <t>هل تعتقد أنني لا أتحدث لأنني لست متألمًا؟</t>
  </si>
  <si>
    <t>الزهور لا تذبل إلا عندما يحتضنها أحدهم بشدة، لذلك أنا لا أحب العناق.</t>
  </si>
  <si>
    <t>أين الوفاء يا حازم؟ هل وصل بك الأمر لهذه الدرجة لتطعني في الظهر يا حازم!</t>
  </si>
  <si>
    <t>لكي تكون قوياً في لبنان، عليك امتلاك الثروة؛ وإلا ستعيش حياة الذل.</t>
  </si>
  <si>
    <t>هكذا يفترض أنه يوجد أشخاص يريدون المشي.</t>
  </si>
  <si>
    <t>شكرًا جزيلاً لك، لقد أخجلتني حقًا، فلم يعد بإمكاني التحدث.</t>
  </si>
  <si>
    <t>يجب علينا إعداد قسم يتحدث بهذه الطريقة، تعال هنا الليلة.</t>
  </si>
  <si>
    <t>كيف يمكن لهم الحصول على الأطفال؟ هل عبر الواي فاي مثلا؟</t>
  </si>
  <si>
    <t>لا أريد تركك هكذا دون أن تفهم شيئا</t>
  </si>
  <si>
    <t>أستعين بالله وهو وكيلي، حقا هذا أمر مؤسف لنشر مثل هذه الصورة.</t>
  </si>
  <si>
    <t>اللهجة الشامية: شكرا لكم أنا أعتقد أنه ربما يكون كذلك لأنك لم توضح ذلك بشكل كافٍ شكرًا جزيلاً لك</t>
  </si>
  <si>
    <t>ما تريده ليس مهمًا بالنسبة لك؛ اترك الأمر لنفسك ولنا دعوة جيدة ولن نلتقي بك في أي مكان.</t>
  </si>
  <si>
    <t>لا أستطيع، اتركني هكذا أفضل.</t>
  </si>
  <si>
    <t>من الجيد أنني نمت مبكراً؛ لأنني لو بقيت مستيقظاً لكنت خسرت الكثير من الطاقة بشكل متتالي ومتتابع.</t>
  </si>
  <si>
    <t>لا تتحدث عن حالتي لأنها لن تسمح لي؛ هناك أشخاص كانت حالتهم أسوأ بكثير ولكنهم نجحوا وأصبحوا أثرياء.</t>
  </si>
  <si>
    <t>هناك أماكن جيدة للاستمتاع بالجو عندما يكون الطقس سيئ.</t>
  </si>
  <si>
    <t>الله يجبر بخاطرك على هذا الكلام أريد التواصل معك يوميا وحتى الإزعاج أيضا.</t>
  </si>
  <si>
    <t>ما هذه الطلعة الغريبة؟</t>
  </si>
  <si>
    <t>انظر إلي لأرى ما تريد رؤيته بعيونك.</t>
  </si>
  <si>
    <t>الشخص الذي يتصرف بناءً على المبدأ القائل بأن الجميع يفعلون ذلك يفتقر بشكل كبير لفهم الأمور الصحيحة.</t>
  </si>
  <si>
    <t>لماذا لا يستطيع الشخص القيام بتمارين للأنف لجعله أكثر شدًا وجاذبية؟</t>
  </si>
  <si>
    <t>وقف بشجاعة تامة بجانب صديقه</t>
  </si>
  <si>
    <t>يا إلهي، هذا الشخص (الرافي) جميل للغاية! قلت ذلك بنفسك، أليس كذلك؟ لقد حصلت بالفعل على اللقب.</t>
  </si>
  <si>
    <t>هل يمكنك وضع هذه الأشياء في كيس لأنني لا أستطيع حملها هكذا.</t>
  </si>
  <si>
    <t>هل تعتقد حقا أنني أنا؟ هذه ليست الطريقة التي تريدني بها، أليس كذلك؟ تقبل تحياتي، أيها المعلم.</t>
  </si>
  <si>
    <t>لذلك أحب الأشخاص الذين تشعر أنهم مثل اللوح أمامك وخلفك.</t>
  </si>
  <si>
    <t>هكذا يعيشون حياتهم كطحلب الأهوار؛ يحتاجون للتقطير للتخلص من هذه الشوائب.</t>
  </si>
  <si>
    <t>أبو حسين كيف تجرؤ على الدوس على رقبتي هكذا؟</t>
  </si>
  <si>
    <t>أنا أسمح لكم بالتحدث بهذه الطريقة؛ ليس لدينا الحق</t>
  </si>
  <si>
    <t>من فضلك يا مراقب ضع سهيله وإيهاب لماذا لديك مشكلة معنا.</t>
  </si>
  <si>
    <t>هل تعتقد أنك أفضل مني يا نانسي؟ كل جسمك عبارة عن عمليات تجميلية</t>
  </si>
  <si>
    <t>يقول المنتجون أنهم لن يسمحوا بوجود مثل هذا الثنائي مرة أخرى.</t>
  </si>
  <si>
    <t>لا يوجد سبب لعدم فتحهم هكذا في هذا الطقس.</t>
  </si>
  <si>
    <t>لا أريد تعقيد الوضع بما يتجاوز تعقيده الأصلي بالفعل.</t>
  </si>
  <si>
    <t>نعم بالضبط هذا أفضل شيء</t>
  </si>
  <si>
    <t>ماذا تريد مني يا حاج؟ أخبر الجميع بذلك! هيا بنا نذهب لننام، إن شاء الله.</t>
  </si>
  <si>
    <t>هل رأيت شوقي؟ يبدو أنه يتحدث هكذا.</t>
  </si>
  <si>
    <t>السعودي كالنعاج والخروف لذا الجميع يضحك عليه ويأخذ أمواله.</t>
  </si>
  <si>
    <t>أعوذ بالله من العنوسة إن كانت هكذا.</t>
  </si>
  <si>
    <t>أخي، هناك أشخاص أحببتهم بشدة دون سبب محدد.</t>
  </si>
  <si>
    <t>أنا أتحدث عن طفل يبلغ من العمر عشر سنوات شارك في برنامج The Voice.</t>
  </si>
  <si>
    <t>يا رب، أودعت لديك الإنسانة الموجودة في قلبي. يا ربي، احفظها من هذا الجو المخيف.</t>
  </si>
  <si>
    <t>في يوم من الأيام وضع شخص ما قنبلة أسفل وسادته لماذا لتفجير نومه بوم بوم راروم بوم</t>
  </si>
  <si>
    <t>هكذا أصبحت الأمور الآن؛ لقد مر بعض الوقت منذ آخر مرة تحدثت فيها إلينا.</t>
  </si>
  <si>
    <t>لماذا تمر العطلات بهذه السرعة؟</t>
  </si>
  <si>
    <t>إنها تقول: "نعم، أنت محق؛ جميعهم يتصرفون بهذه الطريقة عندما تعاملهم بنفس الأسلوب.</t>
  </si>
  <si>
    <t>عندما تعود لإزالة هذا مرة أخرى، سنفعل ذلك ونأكل الموت.</t>
  </si>
  <si>
    <t>لأنها تعيش في منطقة حيث الرقص الشائع هناك يُعرف برقص النايلي.</t>
  </si>
  <si>
    <t>أنا لا أعرف لذلك أحاول إقناع أمي بأن والدتي أصبحت كبيرة.</t>
  </si>
  <si>
    <t>هل يوجد حقا صوت جميل مثل هذا، يا جسار؟ أنا معجب بصوته</t>
  </si>
  <si>
    <t>أنا فقط أحاول الاستمتاع والله يظهر لي المصائب.</t>
  </si>
  <si>
    <t>هناك أشخاص يأتون إليك في حياتك ليعلموك أنك لا ينبغي لك الثقة بأحد بسرعة.</t>
  </si>
  <si>
    <t>مراقب لماذا هكذا؟ لماذا عاد إليهم؟</t>
  </si>
  <si>
    <t>لم أر أمي منذ فترة طويلة، وكانت أول كلمات قالتها لي عندما رأتني 'لماذا ترتدي مثل هذه الملابس في هذا الطقس؟</t>
  </si>
  <si>
    <t>لو ضل الجو هيك كمان اسبوع رسميا انا حرسب</t>
  </si>
  <si>
    <t>لو بقي الجو هكذا إلى أسبوع آخر رسميا سأرسب</t>
  </si>
  <si>
    <t>اي انا هيك بعمل الله يوفقك يا رب</t>
  </si>
  <si>
    <t>انا هكذا بعمل الله يوفقك يارب</t>
  </si>
  <si>
    <t>بتغافل كثير مشان ما ادوش راسي</t>
  </si>
  <si>
    <t>أتغافل كثيرا لكي لا أؤذي رأسي</t>
  </si>
  <si>
    <t>الله يا كبير شكرا استاذ نهاد ولا اروع من هيك عزف</t>
  </si>
  <si>
    <t>الله يا كبير شكرا أستاذ نهاد لا يوجد أروع من هذا العزف</t>
  </si>
  <si>
    <t>يلي بدو يحكي معك بخترع ألف قصة مشان يحكيك</t>
  </si>
  <si>
    <t>الذي يريد أن يتكلم معك سيخترع ألف قصة من أجل أن يكلمك</t>
  </si>
  <si>
    <t>لا لا مااتحمل اشوفك هيك</t>
  </si>
  <si>
    <t>لا لا ما أتحمل أراك هكذا</t>
  </si>
  <si>
    <t>دعم شو بدك م يخزي العين عنك بتحاربي على اربع جهات</t>
  </si>
  <si>
    <t>أي دعم تريده؟ يخزي العين عنك تحاربين على أربع جبهات</t>
  </si>
  <si>
    <t>هيك الهيئة للاسف واه يا بلد</t>
  </si>
  <si>
    <t>هكذا يبدو للأسف آه يا بلد</t>
  </si>
  <si>
    <t>ومتى بدك تساوي لي هيك اعلان لحسابي</t>
  </si>
  <si>
    <t>ومتى ستصنع لي إعلانا كهذا لحسابي؟</t>
  </si>
  <si>
    <t>الله يبعت لي جوال هيك من جمالوه ببكي</t>
  </si>
  <si>
    <t>الله يرسل لي هاتف هكذا من جماله أبكي</t>
  </si>
  <si>
    <t>يعطيك العافية ع هيك نصائح</t>
  </si>
  <si>
    <t>يعطيك العافية على تلك النصائح</t>
  </si>
  <si>
    <t>في براسه قمل عشان هيك دائما ايده براسه</t>
  </si>
  <si>
    <t>يوجد قمل في رأسه لذلك دائما يده على رأسه</t>
  </si>
  <si>
    <t>لا تستغل بنت بس مشان تنسا يلي جرحتك</t>
  </si>
  <si>
    <t>لا تستغل بنت فقط لأجل أن تنسى من جرحتك</t>
  </si>
  <si>
    <t>فعلا بس صعب تلاقي هيك شي</t>
  </si>
  <si>
    <t>فعلا فقط من الصعب أن تجد شيئا كهذا</t>
  </si>
  <si>
    <t>يا هيك المعزه يا بلا</t>
  </si>
  <si>
    <t>إما أن تكون المعزة هكذا أو لا تكون</t>
  </si>
  <si>
    <t>عادي عادي احنه كمان هيك بالعراق</t>
  </si>
  <si>
    <t>عادي عادي نحن أيضا هكذا في العراق</t>
  </si>
  <si>
    <t>فشر يئدر بشر يحكي علينا هيك و الا هيك</t>
  </si>
  <si>
    <t>لن يتمكن أي بشر من أن يتكلم علينا بهذا الشكل أو ذاك</t>
  </si>
  <si>
    <t>إذا من الداخلية السعودية الخبرية هيك طمنتني</t>
  </si>
  <si>
    <t>إذا كان هذا الخبر من الداخلية السعودية هكذا طمئنتني</t>
  </si>
  <si>
    <t>ع هيك المفروض يكون عندك طيارة</t>
  </si>
  <si>
    <t>على هذا النحو المفترض أن يكون لديك طائرة</t>
  </si>
  <si>
    <t>إذا استمر الطقس هكذا لمدة أسبوع آخر، سأبدأ بالتأكيد في القلق.</t>
  </si>
  <si>
    <t>نعم، هذا ما أعتزم القيام به. وفقك الله يا رب.</t>
  </si>
  <si>
    <t>الله أكبر! شكرًا لك يا أستاذ نهاد، هذا العزف ليس أروع منه!</t>
  </si>
  <si>
    <t>ي شخص يريد التحدث إليك يختلق ألف سبب للتحدث إليك.</t>
  </si>
  <si>
    <t>لا أستطيع تحمل رؤيتك بهذه الطريقة!</t>
  </si>
  <si>
    <t>الدعم؟ ماذا تريد أكثر؟ عيناك محسودتان عليك لأنك تحارب على أربع جبهات.</t>
  </si>
  <si>
    <t>هكذا أصبح حال البلاد للأسف الشديد...</t>
  </si>
  <si>
    <t>متى ستجعلني أقوم بإعلان كهذا لحسابي الخاص؟</t>
  </si>
  <si>
    <t>اللهم أرسل إلي هاتفًا جميلًا لدرجة أنني سأبكي.</t>
  </si>
  <si>
    <t>شكرا لك على هذه النصائح الرائعة.</t>
  </si>
  <si>
    <t>يبدو أنه يعاني من القمل لأنه يضع يده باستمرار على رأسه.</t>
  </si>
  <si>
    <t>بالطبع بالطبع، نحن هكذا أيضا في العراق.</t>
  </si>
  <si>
    <t>إذاً، هذا الخبر القادم من الداخل السعودي طمأنني.</t>
  </si>
  <si>
    <t>إذا استمر هذا الجو لمدة أسبوعين ، فسأكون في حالة تأهب .</t>
  </si>
  <si>
    <t>نعم ، أنا أفعل ذلك . باركك الله في الخير .</t>
  </si>
  <si>
    <t>أنا أعتذر كثيراً عن غسل رأسي .</t>
  </si>
  <si>
    <t>يا إلهي ، يا سيدي . شكراً لك . يا سيد نيهاد . لقد كان عزفك رائعاً .</t>
  </si>
  <si>
    <t>يلي يريد أن يتحدث إليك بإختراع ألف قصة ليس إلا ليخبرك بها</t>
  </si>
  <si>
    <t>لا ، لا ، لا أستطيع أن أراك هكذا .</t>
  </si>
  <si>
    <t>دعم ما تريد دون أن تخجل عينك من محاربي على الجانبين الأربعة .</t>
  </si>
  <si>
    <t>يا له من أسلوب سيء . يا له من بلد .</t>
  </si>
  <si>
    <t>وعندما تريد أن تدفع لي ، أعلن عن ذلك على حسابي .</t>
  </si>
  <si>
    <t>أرسل الله لي جوالاً مثل هذا من جماله في البكاء</t>
  </si>
  <si>
    <t>إنه يعطيك نصائح جيدة .</t>
  </si>
  <si>
    <t>لديه قمل في رأسه ، لذلك هو دائماً يضع يده على رأسه .</t>
  </si>
  <si>
    <t>لا تستغل فتاة ولكن لا تنسى أن تلمسها .</t>
  </si>
  <si>
    <t>من الصعب جداً أن تجد شيئاً كهذا .</t>
  </si>
  <si>
    <t>هذا رائع حقاً .</t>
  </si>
  <si>
    <t>هذا طبيعي . نحن كذلك في العراق .</t>
  </si>
  <si>
    <t>من الطبيعي أن يتحدث إلينا الناس هكذا أو هكذا .</t>
  </si>
  <si>
    <t>إذاً هذا ما أكدته الأنباء السعودية الداخلية .</t>
  </si>
  <si>
    <t>لهذا السبب يجب أن يكون لديك طائرة .</t>
  </si>
  <si>
    <t>تسلم والله، على الأقل سأستفيد من خبرتك في مسائل التسجيل وما شابه ذلك.</t>
  </si>
  <si>
    <t>جائعة، هيا، استيقظوا عسى أن نفطر.</t>
  </si>
  <si>
    <t>هل الفتاة غامضة، لا أعرف لماذا أشعر بهذا كل عام، أنتِ بخير يا رب.</t>
  </si>
  <si>
    <t>الواتساب برنامج مفيد وشهير، لكن للأسف لا يمكن لأحد تنزيله بسهولة جدًا.</t>
  </si>
  <si>
    <t>يلا، بسم الله، ما الذي يجب علينا فعله حتى نعيش في مثل هذا المجتمع؟ تحتاج إلى شهادة.</t>
  </si>
  <si>
    <t>هذه الفكرة، ماذا أفعل إلا أن أعجب بها؟</t>
  </si>
  <si>
    <t>ما دام هكذا أصبح كل محب يقترب والمبغض يحترس من محاولة التجربة.</t>
  </si>
  <si>
    <t>يمكن خونك مع بلدي وحبا أكثر منك غير هيك مستحيل يخون.</t>
  </si>
  <si>
    <t>إذا استمرت الأجواء بهذه الطريقة لمدة أسبوع آخر، فسأكون محرجا رسميا.</t>
  </si>
  <si>
    <t>وأنا واثق هكذا أن هذا الطفل اليمني يحب أبوهن الكلاب جميعهن.</t>
  </si>
  <si>
    <t>أنا أفعل هكذا، الله يوفقك يا رب.</t>
  </si>
  <si>
    <t>هكذا تحدثي مع أمك الآن، لا يوجد زواج.</t>
  </si>
  <si>
    <t>أريد أن أخبرك أنتِ هكذا أو نظامك هكذا.</t>
  </si>
  <si>
    <t>آسف حبيبي، هم لا يعرفون كيف يظهرون أنفسهم إذا لم يقوموا بمثل هذه الحركات.</t>
  </si>
  <si>
    <t>وَلَيْسَ فَقَط هَكَذَا، بَلْ أَنْتِ ذَاهِبَةٌ، قُلّي "أُورْفْوَار"، يَعْنِي تَقْلِيعَة كَلاس.</t>
  </si>
  <si>
    <t>لا وإن لم يكن طيباً، لم نرَ المشعوط بهذا الشكل يا محمد، لقد أفسدت لنا الشعطة.</t>
  </si>
  <si>
    <t>لأنك تعقيد، عندما تنتمي إلى أحد الأحزاب، تصبحون جميعكم متشابهين وهذا أمر طبيعي.</t>
  </si>
  <si>
    <t>لا تتركني بهذا الشك، أبحث عنك وأنادي اسمك.</t>
  </si>
  <si>
    <t>الآن في الأردن يقولون إن مستوى سطح البحر نخلص هكذا بدأت تتحسن الأمور بالنسبة لي.</t>
  </si>
  <si>
    <t>لماذا يحدث هذا لي؟ والله لم أجرح أحدًا في حياتي، ولم أغضب أحدًا.</t>
  </si>
  <si>
    <t>العصابة النيسية تعشق فلسطين، يا الله، زودتموها وصلتم إليها في فلسطين، إذا كان الأمر كذلك، فأنتم معجبون.</t>
  </si>
  <si>
    <t>لقد اشتقنا إلى تغريداتك يا بيك، ماذا تريد أن تقول؟ احكي فقط، المهم أن تحكي.</t>
  </si>
  <si>
    <t>تُغافِل كثيرًا لكي لا أُصابَ بصداعٍ</t>
  </si>
  <si>
    <t>حسبي الله ونعم الوكيل على هذه الحياة، أصبحت الكهرباء سببًا للذل والإهانة.</t>
  </si>
  <si>
    <t>هل هكذا أنتِ تشعرين بالراحة معي وتغضبين؟ ما الذي حدث؟</t>
  </si>
  <si>
    <t>أرغب في معرفة العظيم ليس لشيء معين، بل لكي يكون داعمًا لنا في الأوقات الصعبة.</t>
  </si>
  <si>
    <t>والله، نحن في الجزائر كل شيء متوفر، ومع ذلك نشتكي دائمًا، لا يعجبنا الأمر.</t>
  </si>
  <si>
    <t>الشيء الوحيد الذي عرفته هو الرياضيات وعلى الرغم من ذلك لم أكن أحبه.</t>
  </si>
  <si>
    <t>ما أقذر هذا الكائن الذي يُدعى النمر، ينبغي أن يُسمى القملة، إنه مثل هذا الشخص.</t>
  </si>
  <si>
    <t>يخرب بيتك على هذه الأبيات، فهي قمة في المعنى ١٠ على ١٠.</t>
  </si>
  <si>
    <t>ما زال يجب أن يحدث المزيد من ذلك، يا رب، أن تكوني مساعدة، يا أخت اليرموك.</t>
  </si>
  <si>
    <t>والله عليكم هذا الشخص الذي يثير إحساسكم</t>
  </si>
  <si>
    <t>أسأل نفسي لماذا يحدث هذا معي، ثم أرد على نفسي في لحظة، أنت تستحقين ذلك.</t>
  </si>
  <si>
    <t>اللهم، يا كبير، شكرًا لك يا استاذ نهاد، ولا أروع من هذا العزف.</t>
  </si>
  <si>
    <t>الشخص الذي يرغب في التحدث معك سيبتكر ألف قصة ليرويها لك.</t>
  </si>
  <si>
    <t>ما عندهم سوى جواب، اختبار حكمة الله هكذا يجب أن تتجاهلي.</t>
  </si>
  <si>
    <t>الأردني كيف يدعو؟ يا الله، من أجل الله.</t>
  </si>
  <si>
    <t>لا، لا أستطيع أن أراك بهذه الحالة.</t>
  </si>
  <si>
    <t>بالفعل، يعني لي هذا الأمر أنهم فعلوا ذلك، لم ينموا حتى الآن، يبدو أنهم هذا العام يسمونه "ستار نوم".</t>
  </si>
  <si>
    <t>لذلك، لم يأتني أي ريتويت.</t>
  </si>
  <si>
    <t>قطع الشوارع في عينو وهو يفافينا في شيء يسمى القتل الرحيم، ليس هكذا.</t>
  </si>
  <si>
    <t>إذا كان الأمر هكذا، سيكون الأمر على ما يُرام. تحياتي، ضي.</t>
  </si>
  <si>
    <t>دعم، ماذا تريدين؟ لا يجب أن تخجلي من العين، إنك تقاتلين في أربع اتجاهات.</t>
  </si>
  <si>
    <t>أنا أساعدك لأسهل عليك، لا يحتاج إليك هذا التعقيد.</t>
  </si>
  <si>
    <t>كنت أتوقع مثل هذا السؤال عندي قصور.</t>
  </si>
  <si>
    <t>مارسيلينو يقول إن هايدي تضحك على أي شيء، حتى أنها تضحك على أمور أكثر جدية من ذلك.</t>
  </si>
  <si>
    <t>هكذا الهيئة للأسف، ويا للهول يا بلدي.</t>
  </si>
  <si>
    <t>هكذا حدث، فلنبدأ بالسرقة، لو كان معه ويلٌ لمن يقول لي إنك سارق.</t>
  </si>
  <si>
    <t>هكذا هي الأمور، والله يا صديقي، والحبل على الجرار.</t>
  </si>
  <si>
    <t>أريد أن يلبس المراقبون اليوم زي ميكي ماوس من أجل اختبار النهائي.</t>
  </si>
  <si>
    <t>سوريا تبدو بهذه الطريقة بدون أي تزييف، ولكن يجب أن تقول أحلام سعيدة.</t>
  </si>
  <si>
    <t>الطعام للشخص الذي أجرى عملية تصغير المعدة يكون متعبًا أثناء السفر، لذا قمي بتحويله إلى وجبات خفيفة.</t>
  </si>
  <si>
    <t>لا أحب هذا عندما أتحدث بطريقتي والآخرون يتحدثون بنفسهم. ماذا عنك؟</t>
  </si>
  <si>
    <t>الكلام صحيح، ومن يقول غير ذلك يعني أنه يشاهد برنامج آخر.</t>
  </si>
  <si>
    <t>هذا واحد من الف، يا ليت الجميع يكونون بهذه الطريقة، إنه شيء يشرف.</t>
  </si>
  <si>
    <t>لا، أنا فقط عندما أشاهد فيلم أتأثر كثيرًا.</t>
  </si>
  <si>
    <t>الأيام مثل بعضها، فهي تتضمن الأكل والشرب والعمل والنوم، لكن لا يوجد شيء أجمل من ذلك.</t>
  </si>
  <si>
    <t>أتمنى أن أراك وأقول لك أنني هكذا ولن أتغير من أجل لون عيون أحد.</t>
  </si>
  <si>
    <t>أنا متأثرة بها لكي تأخذ نائل وتعود إليّ حتى تصبح قصة حب.</t>
  </si>
  <si>
    <t>يسلم لي إذا كنت زعلانًا وهكذا.</t>
  </si>
  <si>
    <t>تسلمين يا قلبي وشكرًا كثيرًا على هذه الكلمات، الله لا يحرمني من مثل هذا الحب.</t>
  </si>
  <si>
    <t>كفى أن نانسي عجرم على أرضكم، ماذا ترغبن في المزيد؟</t>
  </si>
  <si>
    <t>على الرغم من أنني رأيت صورتك من قبل وفرحت عندما رأيتها ورديت الآن، إلا أنني فرحت أيضًا الآن.</t>
  </si>
  <si>
    <t>يستحق الحمد، كانت الفجر تتساقط فيها زخات خفيفة من الثلج والآن طلعت الشمس ولكن مع ذلك الجو بارد.</t>
  </si>
  <si>
    <t>أفضل شيء أن يكون الشخص قادرًا على تحمل مسؤوليته ويبحث عن الطريقة التي يرغب فيها في التقدم، وإذا لم يكن كذلك، فلا تفكر في الأمر.</t>
  </si>
  <si>
    <t>لا تُفكّر كثيرًا، البلد هكذا: الصديق اليوم عدو الأمس والعكس صحيح.</t>
  </si>
  <si>
    <t>الحكيم سيعارض هذا القرار غدًا.</t>
  </si>
  <si>
    <t>لا يوجد أوقح من هذا، قتلتيني وتأتين لتهاجمي وتريدين أن أسكتك مثلاً؟</t>
  </si>
  <si>
    <t>نحن بحاجة إلى الكثير من الوقت لاضاعته.</t>
  </si>
  <si>
    <t>نسيم أكبر من هذه الإسفافات وبالتأكيد سيعود بقوة، ولا عزاء للحاقدين.</t>
  </si>
  <si>
    <t>من أجل هذا، أنا متأكدة أنني لا أستطيع تحمّله من الداخل.</t>
  </si>
  <si>
    <t>الكرز واطلعله هيك كتير كرز.</t>
  </si>
  <si>
    <t>من فصل واحد فقط، لكن كانت هذه هي طلباتك، ما الذي سنفعله معك في المستقبل؟</t>
  </si>
  <si>
    <t>دائمًا يصدق الناس الغريبة لأنهم لم يخدعونا من قبل.</t>
  </si>
  <si>
    <t>نحن عاطفيون لهذا الحد وما زلنا كذلك، لا تغيير، لا ثورات، ونعم للحروب.</t>
  </si>
  <si>
    <t>سأفعل ذلك، لا نريد أن يخجل أحد منا، صدقني.</t>
  </si>
  <si>
    <t>يقولون إن الحقيقة، عادي تقولها، لكن مدى احترامك يا صديق.</t>
  </si>
  <si>
    <t>مجنون وتريد أن تكون مجنوناً، لا أريد أن أعرف ماذا تريد.</t>
  </si>
  <si>
    <t>لذلك يجب أن نتأخر قليلاً ونعود إلى الوراء.</t>
  </si>
  <si>
    <t>قد لا أنتبه لأنه قد يكون تفسيرًا مسيسًا ربما.</t>
  </si>
  <si>
    <t>متى ترغب في عمل إعلان مثل هذا لحسابي؟</t>
  </si>
  <si>
    <t>حنان، لا يُفيد البكاء ولا يُحسن خروجك من البرنامج هذا الأسبوع، ليس جميلًا رؤيتك بهذه الحالة.</t>
  </si>
  <si>
    <t>لماذا يُعتدي الرجال بالعنف بسبب كثرة الفتيات اللاتي يقومن بهذا الهاشتاق؟</t>
  </si>
  <si>
    <t>أقدم لك التهاني بنجاحك في هذا البرنامج الرائع، بداية موفقة جدًا ومثمرة.</t>
  </si>
  <si>
    <t>إخوة في الناس مثل هؤلاء، فور سماع أصواتهم تشعر بالطمأنينة.</t>
  </si>
  <si>
    <t>بالتأكيد ستنسى الطعام على النار ونموت جميعًا هكذا قصدي.</t>
  </si>
  <si>
    <t>الله يرزقني جوالًا مثل جماله، سأبكي.</t>
  </si>
  <si>
    <t>اللعب بين حبلين نحن نعرفه، لكن اللعب بأربع وخمس وست حبال كثير جدًا.</t>
  </si>
  <si>
    <t>الأهم هو أن يمسح أنفه بيده، لا لا لا، ليس هكذا.</t>
  </si>
  <si>
    <t>والله، هذه المرة الأولى التي أرى مثل هذا الطبق، ليس لدي أي فكرة عنه على الإطلاق.</t>
  </si>
  <si>
    <t>من أصحابنا أصحابنا هكذا علمنا</t>
  </si>
  <si>
    <t>لا نطلب من الحياة سوى أن تبقى كما هي ولا تزيد سوءًا.</t>
  </si>
  <si>
    <t>يمكن أريدك وأنت تعرف ماذا تريد؟ سأحاول نسيانك مرة أخرى، لا تلمس خدي.</t>
  </si>
  <si>
    <t>يعطيك الصحة على مثل هذه النصائح.</t>
  </si>
  <si>
    <t>أنتَ قد بَرِزتَ وتَفوقتَ على نفسِكَ.</t>
  </si>
  <si>
    <t>لا، هكذا والله، أنا أحبك بكل قلبي.</t>
  </si>
  <si>
    <t>نعم، فهمتكِ. إذا كان الأمر بهذه البساطة، فلا داعي للقلق.</t>
  </si>
  <si>
    <t>في رأسه قمل، لذلك دائمًا يضع يده على رأسه.</t>
  </si>
  <si>
    <t>مشاعرك ليست غير مهمة بالنسبة لي لذا سأهتم بها.</t>
  </si>
  <si>
    <t>من فضلكم، قوموا بالانتقال بسبب الله، لا تُحدثوا إزعاجًا واضحًا.</t>
  </si>
  <si>
    <t>هذا حالي هكذا، خذني مع المال أو بدونه.</t>
  </si>
  <si>
    <t>ولكن بالله، هكذا تنتين شاورما وبعد ذلك صحن كنافة نابلسية يصبحون كأنهما من الذهب.</t>
  </si>
  <si>
    <t>قولك على ماذا يشاهدون حتى يكونوا بهذه السعادة.</t>
  </si>
  <si>
    <t>آه، أنا لا أفعل مثل هذا لكي لا أخالف عائلتي كلها.</t>
  </si>
  <si>
    <t>طيب، أنا حقاً بحال جيد هكذا.</t>
  </si>
  <si>
    <t>فكرك ليش ما أتكلم؟ هل أنت غير مهتم؟</t>
  </si>
  <si>
    <t>الزهرة لا تذبل إلا إذا حضنها شخص ما، لذلك أنا لا أحب الحضن.</t>
  </si>
  <si>
    <t>المدعي العام، يا حازم، كيف وصلت إلى هذا الحد من الخيانة؟ يا حازم.</t>
  </si>
  <si>
    <t>هكذا يجب أن يكون هناك أشخاص فقط يرغبون في المغادرة.</t>
  </si>
  <si>
    <t>شكرًا جزيلاً، لقد حرجتني، لم أعد أستطيع التحدث.</t>
  </si>
  <si>
    <t>المفروض أن نقوم بإعداد فقرة تتحدث فيها بهذه الطريقة، يا بوب تعال في الليل.</t>
  </si>
  <si>
    <t>كيف يأتيهم أولاد، يا رجل، مثلاً واي فاي؟</t>
  </si>
  <si>
    <t>ماذا تريدين منه؟ اتركيه وحده ولنا دعاء جيد ولن نلتقي في أي زمان.</t>
  </si>
  <si>
    <t>لا أستطيع أن أتركني بهذا الشكل أفضل</t>
  </si>
  <si>
    <t>جيد أنني ذاهبة للنوم، لقد فزت بالكثير ليس كل يوم يحدث هذا.</t>
  </si>
  <si>
    <t>لا تحكي ظروفي، لا تسمحي بأن يتدخل الناس في ظروفها السيئة، إذا نجحت وتغلبت على هذه الظروف.</t>
  </si>
  <si>
    <t>الله سيجبر قلبك على هذا الحديث، أريد التواصل معك كل يوم وإزعاجك أيضًا.</t>
  </si>
  <si>
    <t>ليس كل مرة مثل هذا عندما تخرج، حقاً.</t>
  </si>
  <si>
    <t>عينك بعيني لترى ما تريدين رؤيته بعين طائر شرش الحياة فيها.</t>
  </si>
  <si>
    <t>الشخص الذي يتبع مبدأ "الكل يفعل ذلك" يعني أنك تفتقد الكثير من الفهم.</t>
  </si>
  <si>
    <t>أهاب هكذا بكل رجولة واقف مع ساهو.</t>
  </si>
  <si>
    <t>يا الله، هذا الرافع مذهل! قالتها بجد، شعرتُ بهكذا لو كنتِ أخذتِ اللقب كأنني.</t>
  </si>
  <si>
    <t>حسنًا، ضعهم في كيس حتى لا أستطيع حملهم بهذه الطريقة.</t>
  </si>
  <si>
    <t>والله لو كانت هي لما كنت أنا، هي أنت هكذا تريد، يا ليت تسلم يا معلم.</t>
  </si>
  <si>
    <t>لذلك، أحب الأشخاص الذين تشعر أنهم لوحٌ أمامك وراءك.</t>
  </si>
  <si>
    <t>تقولي المخرجون انعموا عن هذا الثنائي الذي يعود.</t>
  </si>
  <si>
    <t>لا يوجد حاجة لفتحهم في هذا الطقس.</t>
  </si>
  <si>
    <t>أين هكذا أريدك يا حج الحجاج كلها، تصبح على خير إن شاء الله.</t>
  </si>
  <si>
    <t>انظري إلى شوق؟ نريد أن لا يتحقق له مثل هذا.</t>
  </si>
  <si>
    <t>السعودي يعتبره نعجة وخروف، ولذلك يسخر الجميع منه ويأخذون أمواله.</t>
  </si>
  <si>
    <t>أخي، هناك أشخاص أحبهم كثيرًا بشكل لا يمكن وصفه.</t>
  </si>
  <si>
    <t>أيها الرب، أودعتُك السيدة التي في قلبي، أيها الرب، احفظها من هذا الجو المخيف.</t>
  </si>
  <si>
    <t>مرة واحد وضع قنبلة تحت وسادته لينفجرها ويستيقظ بصوت قوي.</t>
  </si>
  <si>
    <t>شكلها هكذا أصبحت لا ترد علينا.</t>
  </si>
  <si>
    <t>أنت محق، كلهم يتصرفون هكذا عندما تعاملهم بنفس الطريقة، لا يرضون.</t>
  </si>
  <si>
    <t>عندما تعود، احضره في المرة القادمة سنفعل هكذا وسنتناول الطعام معًا.</t>
  </si>
  <si>
    <t>لأن منطقتها التي تسكن فيها رقصهم هو رقص نيلي.</t>
  </si>
  <si>
    <t>لا تستغل الفتاة فقط لكي تنسى من جرحك.</t>
  </si>
  <si>
    <t>اجتماع هام لاتخاذ قرار بشأن ما إذا كان هناك دوام، وسيبدأ الدوام في السابعة.</t>
  </si>
  <si>
    <t>لا أعرف لذلك أحاول إقناعك، أمي كبرت.</t>
  </si>
  <si>
    <t>هل هناك صوت جميل مثل هذا يا جسار؟ من فضلك، بمحبة.</t>
  </si>
  <si>
    <t>أنا لا أتسلى، الله يظهر لي البلاء.</t>
  </si>
  <si>
    <t>السيطرة، لماذا هكذا؟ لماذا عاد عليهم؟</t>
  </si>
  <si>
    <t>منذ مدة طويلة لم أر أمي، وأول كلمة قالتها لي: لماذا ترتدي هكذا في هذا الجو؟</t>
  </si>
  <si>
    <t>بالفعل، لكن من الصعب العثور على شيء مثل هذا.</t>
  </si>
  <si>
    <t>يا هذه المعزة يا بلاش</t>
  </si>
  <si>
    <t>طبيعي، طبيعي، نحن أيضًا هكذا في العراق.</t>
  </si>
  <si>
    <t>في شخص قادر على الحديث عنا بهذه الطريقة أو ذاك.</t>
  </si>
  <si>
    <t>إذا كانت الأخبار من الداخلية السعودية بهذا الشكل، فقد أطمأنتني.</t>
  </si>
  <si>
    <t>على هذا النحو، يجب أن تكون لديك طائرة.</t>
  </si>
  <si>
    <t>FLU</t>
  </si>
  <si>
    <t>ADP</t>
  </si>
  <si>
    <t>كل عام وأنت بخير يا بو قوص.</t>
  </si>
  <si>
    <t>لا تريد أن تندم بعد مرور عشر سنوات وتقول لنفسك 'يا ليتني فعلت ذلك'؛ عليك أن تأخذ بعض المخاطر.</t>
  </si>
  <si>
    <t>أنا متأكد أنه الطفل اليمني سيقتل أمه وكلبها.</t>
  </si>
  <si>
    <t>هذه العبارة تترجم بشكل حرفي إلى "نريد أن نعيش حياة جيدة حقا.</t>
  </si>
  <si>
    <t>تحدثي الآن مع والدتك، ليس هناك وقت للزواج.</t>
  </si>
  <si>
    <t>أنا أهمل الكثير لكي لا أتعب نفسي.</t>
  </si>
  <si>
    <t>أوه، هكذا أصبح الأمر شيئا آخر.</t>
  </si>
  <si>
    <t>إيهاب تستحق أكثر بكثير مما نلته.</t>
  </si>
  <si>
    <t>هكذا أصبحت الآن لنبدأ بالسرقة؛ ومن سيقول أنني لص سيلقى الويل.</t>
  </si>
  <si>
    <t>هكذا وهكذا يكون الأمر، والله، الحال مستمر كالمعتاد.</t>
  </si>
  <si>
    <t>أريد أن أجعل الطلاب يرتدون زي ميكي ماوس للامتحان الأخير.</t>
  </si>
  <si>
    <t>أتمنى رؤيتك لأخبرك أنني هكذا ولن أتغير بسبب حب أحد لي.</t>
  </si>
  <si>
    <t>إذا كانت هذه جيدة جدا.</t>
  </si>
  <si>
    <t>لذلك أنا متأكدة أنه يكرهني من الداخل.</t>
  </si>
  <si>
    <t>للأسف هناك أشخاص يفكرون بهذه الطريقة.</t>
  </si>
  <si>
    <t>كرز واطلع هكذا كثير الكرز.</t>
  </si>
  <si>
    <t>من فضلك تذكروا ذلك جيدا ومن ينكر هذا فهو شخص ذو أخلاق ضعيفة.</t>
  </si>
  <si>
    <t>بسبب هذا النوع من التخلف، نحن نتأخر ونتراجع.</t>
  </si>
  <si>
    <t>في بعض الأحيان عندما تسمع أصوات الناس فقط تشعر بالهدوء والسلام الداخلي.</t>
  </si>
  <si>
    <t>بالتأكيد ستنسى الطعام على النار وسنموت جميعا بهذه الطريقة.</t>
  </si>
  <si>
    <t>هل تعلم ما هذا النوع من الأشخاص الذين يعتبرون أنفسهم سيئين الحظ وغير محظوظين بشكل عام؟ نحن هكذا كأمة بأكملها.</t>
  </si>
  <si>
    <t>لا تستخدم فتاة فقط لتنسى الشخص الذي جرحك.</t>
  </si>
  <si>
    <t>هناك اجتماع لتحديد ما إذا كانت هناك ساعات عمل اليوم أم لا؛ حيث تبدأ الدوام الساعة السابعة صباحا.</t>
  </si>
  <si>
    <t>بالفعل ولكن يصعب العثور على مثل هذا الشيء.</t>
  </si>
  <si>
    <t>إما هذه هي الطريقة للتعبير عن المحبة، وإلا فلا.</t>
  </si>
  <si>
    <t>لا يستطيع الإنسان التحدث عنا بهذه الطريقة.</t>
  </si>
  <si>
    <t>على هذه الحالة، يفترض أن تمتلك طائرة.</t>
  </si>
  <si>
    <t>DA</t>
  </si>
  <si>
    <t>MSA</t>
  </si>
  <si>
    <t>Jais</t>
  </si>
  <si>
    <t>GPT3.5</t>
  </si>
  <si>
    <t>NLLB-200</t>
  </si>
  <si>
    <t>Total system error score</t>
  </si>
  <si>
    <t>Percentage of error X out of all errors</t>
  </si>
  <si>
    <t>Average error score per segment (not %) - max 4</t>
  </si>
  <si>
    <t>Segments with minor errors: 0.5 &lt; error score =&lt;1</t>
  </si>
  <si>
    <t>Segments with major errors: 1 &lt; error score</t>
  </si>
  <si>
    <t>Percentage of Segments with no editing required</t>
  </si>
  <si>
    <t>Percentage of Segments with minor errors</t>
  </si>
  <si>
    <t>Percentage of Segments with major errors</t>
  </si>
  <si>
    <t>Segments with no editing required: error score =0</t>
  </si>
  <si>
    <t>Segments with no editing required: SEGS=0</t>
  </si>
  <si>
    <t>Segments with minor errors: 0.5 &lt; SEGS =&lt;1</t>
  </si>
  <si>
    <t>Segments with major errors: 1 &lt; SEGS</t>
  </si>
  <si>
    <t>Jais Meaning Transfer Averaged</t>
  </si>
  <si>
    <t>GPT3.5  Meaning Transfer Averaged</t>
  </si>
  <si>
    <t>NLLB Meaning Transfer Averaged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</si>
</sst>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7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sz val="11"/>
      <color rgb="FF141718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name val="Calibri"/>
      <family val="2"/>
      <scheme val="minor"/>
    </font>
    <font>
      <sz val="17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71">
    <xf numFmtId="0" fontId="0" fillId="0" borderId="0" xfId="0"/>
    <xf numFmtId="0" fontId="2" fillId="0" borderId="0" xfId="0" applyFont="1" applyAlignment="1">
      <alignment wrapText="1"/>
    </xf>
    <xf numFmtId="0" fontId="3" fillId="4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/>
    <xf numFmtId="0" fontId="0" fillId="0" borderId="1" xfId="0" applyBorder="1" applyAlignment="1">
      <alignment wrapText="1"/>
    </xf>
    <xf numFmtId="0" fontId="4" fillId="0" borderId="1" xfId="0" applyFont="1" applyBorder="1" applyAlignment="1">
      <alignment wrapText="1"/>
    </xf>
    <xf numFmtId="0" fontId="0" fillId="0" borderId="1" xfId="0" applyBorder="1" applyAlignment="1">
      <alignment vertical="center" wrapText="1"/>
    </xf>
    <xf numFmtId="1" fontId="0" fillId="0" borderId="1" xfId="0" applyNumberFormat="1" applyBorder="1" applyAlignment="1">
      <alignment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" fontId="0" fillId="0" borderId="0" xfId="0" applyNumberFormat="1"/>
    <xf numFmtId="1" fontId="3" fillId="6" borderId="1" xfId="0" applyNumberFormat="1" applyFont="1" applyFill="1" applyBorder="1" applyAlignment="1">
      <alignment horizontal="center" vertical="center"/>
    </xf>
    <xf numFmtId="1" fontId="4" fillId="0" borderId="1" xfId="0" applyNumberFormat="1" applyFont="1" applyBorder="1" applyAlignment="1">
      <alignment wrapText="1"/>
    </xf>
    <xf numFmtId="1" fontId="0" fillId="0" borderId="1" xfId="0" applyNumberFormat="1" applyBorder="1" applyAlignment="1">
      <alignment vertical="center" wrapText="1"/>
    </xf>
    <xf numFmtId="1" fontId="2" fillId="0" borderId="0" xfId="0" applyNumberFormat="1" applyFont="1" applyAlignment="1">
      <alignment wrapText="1"/>
    </xf>
    <xf numFmtId="1" fontId="3" fillId="3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2" fontId="0" fillId="7" borderId="0" xfId="0" applyNumberFormat="1" applyFill="1"/>
    <xf numFmtId="2" fontId="0" fillId="0" borderId="0" xfId="0" applyNumberFormat="1"/>
    <xf numFmtId="2" fontId="3" fillId="6" borderId="1" xfId="0" applyNumberFormat="1" applyFont="1" applyFill="1" applyBorder="1" applyAlignment="1">
      <alignment horizontal="center" vertical="center"/>
    </xf>
    <xf numFmtId="2" fontId="3" fillId="8" borderId="1" xfId="0" applyNumberFormat="1" applyFont="1" applyFill="1" applyBorder="1" applyAlignment="1">
      <alignment horizontal="center" vertical="center"/>
    </xf>
    <xf numFmtId="2" fontId="4" fillId="0" borderId="1" xfId="0" applyNumberFormat="1" applyFont="1" applyBorder="1" applyAlignment="1">
      <alignment wrapText="1"/>
    </xf>
    <xf numFmtId="2" fontId="0" fillId="0" borderId="1" xfId="0" applyNumberFormat="1" applyBorder="1" applyAlignment="1">
      <alignment wrapText="1"/>
    </xf>
    <xf numFmtId="2" fontId="0" fillId="8" borderId="1" xfId="0" applyNumberFormat="1" applyFill="1" applyBorder="1" applyAlignment="1">
      <alignment wrapText="1"/>
    </xf>
    <xf numFmtId="2" fontId="0" fillId="0" borderId="1" xfId="0" applyNumberFormat="1" applyBorder="1" applyAlignment="1">
      <alignment vertical="center" wrapText="1"/>
    </xf>
    <xf numFmtId="2" fontId="2" fillId="0" borderId="0" xfId="0" applyNumberFormat="1" applyFont="1" applyAlignment="1">
      <alignment wrapText="1"/>
    </xf>
    <xf numFmtId="2" fontId="3" fillId="3" borderId="1" xfId="0" applyNumberFormat="1" applyFont="1" applyFill="1" applyBorder="1" applyAlignment="1">
      <alignment horizontal="center" vertical="center"/>
    </xf>
    <xf numFmtId="2" fontId="3" fillId="9" borderId="1" xfId="0" applyNumberFormat="1" applyFont="1" applyFill="1" applyBorder="1" applyAlignment="1">
      <alignment horizontal="center" vertical="center"/>
    </xf>
    <xf numFmtId="2" fontId="0" fillId="9" borderId="1" xfId="0" applyNumberFormat="1" applyFill="1" applyBorder="1" applyAlignment="1">
      <alignment wrapText="1"/>
    </xf>
    <xf numFmtId="2" fontId="3" fillId="2" borderId="1" xfId="0" applyNumberFormat="1" applyFont="1" applyFill="1" applyBorder="1" applyAlignment="1">
      <alignment horizontal="center" vertical="center"/>
    </xf>
    <xf numFmtId="10" fontId="2" fillId="0" borderId="0" xfId="0" applyNumberFormat="1" applyFont="1" applyAlignment="1">
      <alignment wrapText="1"/>
    </xf>
    <xf numFmtId="10" fontId="0" fillId="0" borderId="0" xfId="0" applyNumberFormat="1"/>
    <xf numFmtId="9" fontId="2" fillId="0" borderId="0" xfId="1" applyFont="1" applyAlignment="1">
      <alignment wrapText="1"/>
    </xf>
    <xf numFmtId="0" fontId="2" fillId="8" borderId="1" xfId="0" applyFont="1" applyFill="1" applyBorder="1" applyAlignment="1">
      <alignment wrapText="1"/>
    </xf>
    <xf numFmtId="9" fontId="2" fillId="8" borderId="1" xfId="1" applyFont="1" applyFill="1" applyBorder="1" applyAlignment="1">
      <alignment wrapText="1"/>
    </xf>
    <xf numFmtId="2" fontId="3" fillId="10" borderId="1" xfId="0" applyNumberFormat="1" applyFont="1" applyFill="1" applyBorder="1" applyAlignment="1">
      <alignment horizontal="center" vertical="center"/>
    </xf>
    <xf numFmtId="2" fontId="0" fillId="10" borderId="1" xfId="0" applyNumberFormat="1" applyFill="1" applyBorder="1" applyAlignment="1">
      <alignment wrapText="1"/>
    </xf>
    <xf numFmtId="2" fontId="0" fillId="10" borderId="0" xfId="0" applyNumberFormat="1" applyFill="1"/>
    <xf numFmtId="2" fontId="2" fillId="0" borderId="0" xfId="0" applyNumberFormat="1" applyFont="1"/>
    <xf numFmtId="2" fontId="2" fillId="7" borderId="0" xfId="0" applyNumberFormat="1" applyFont="1" applyFill="1"/>
    <xf numFmtId="0" fontId="2" fillId="0" borderId="0" xfId="0" applyFont="1"/>
    <xf numFmtId="2" fontId="2" fillId="8" borderId="1" xfId="0" applyNumberFormat="1" applyFont="1" applyFill="1" applyBorder="1" applyAlignment="1">
      <alignment wrapText="1"/>
    </xf>
    <xf numFmtId="0" fontId="2" fillId="0" borderId="1" xfId="0" applyFont="1" applyBorder="1"/>
    <xf numFmtId="2" fontId="2" fillId="0" borderId="1" xfId="0" applyNumberFormat="1" applyFont="1" applyBorder="1" applyAlignment="1">
      <alignment wrapText="1"/>
    </xf>
    <xf numFmtId="9" fontId="2" fillId="0" borderId="0" xfId="1" applyFont="1"/>
    <xf numFmtId="2" fontId="6" fillId="2" borderId="1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wrapText="1"/>
    </xf>
    <xf numFmtId="2" fontId="7" fillId="2" borderId="0" xfId="0" applyNumberFormat="1" applyFont="1" applyFill="1"/>
    <xf numFmtId="2" fontId="1" fillId="2" borderId="0" xfId="0" applyNumberFormat="1" applyFont="1" applyFill="1"/>
    <xf numFmtId="0" fontId="2" fillId="9" borderId="1" xfId="0" applyFont="1" applyFill="1" applyBorder="1" applyAlignment="1">
      <alignment wrapText="1"/>
    </xf>
    <xf numFmtId="9" fontId="2" fillId="9" borderId="1" xfId="1" applyFont="1" applyFill="1" applyBorder="1" applyAlignment="1">
      <alignment wrapText="1"/>
    </xf>
    <xf numFmtId="0" fontId="2" fillId="10" borderId="1" xfId="0" applyFont="1" applyFill="1" applyBorder="1" applyAlignment="1">
      <alignment wrapText="1"/>
    </xf>
    <xf numFmtId="9" fontId="2" fillId="10" borderId="1" xfId="1" applyFont="1" applyFill="1" applyBorder="1" applyAlignment="1">
      <alignment wrapText="1"/>
    </xf>
    <xf numFmtId="2" fontId="2" fillId="10" borderId="1" xfId="0" applyNumberFormat="1" applyFont="1" applyFill="1" applyBorder="1" applyAlignment="1">
      <alignment wrapText="1"/>
    </xf>
    <xf numFmtId="2" fontId="2" fillId="9" borderId="1" xfId="0" applyNumberFormat="1" applyFont="1" applyFill="1" applyBorder="1" applyAlignment="1">
      <alignment wrapText="1"/>
    </xf>
    <xf numFmtId="0" fontId="3" fillId="3" borderId="1" xfId="0" applyFont="1" applyFill="1" applyBorder="1"/>
    <xf numFmtId="2" fontId="0" fillId="3" borderId="1" xfId="0" applyNumberFormat="1" applyFill="1" applyBorder="1" applyAlignment="1">
      <alignment wrapText="1"/>
    </xf>
    <xf numFmtId="0" fontId="2" fillId="3" borderId="1" xfId="0" applyFont="1" applyFill="1" applyBorder="1"/>
    <xf numFmtId="0" fontId="0" fillId="3" borderId="1" xfId="0" applyFill="1" applyBorder="1"/>
    <xf numFmtId="0" fontId="3" fillId="6" borderId="1" xfId="0" applyFont="1" applyFill="1" applyBorder="1"/>
    <xf numFmtId="2" fontId="0" fillId="6" borderId="1" xfId="0" applyNumberFormat="1" applyFill="1" applyBorder="1" applyAlignment="1">
      <alignment wrapText="1"/>
    </xf>
    <xf numFmtId="0" fontId="2" fillId="6" borderId="1" xfId="0" applyFont="1" applyFill="1" applyBorder="1"/>
    <xf numFmtId="0" fontId="0" fillId="6" borderId="1" xfId="0" applyFill="1" applyBorder="1"/>
    <xf numFmtId="0" fontId="3" fillId="2" borderId="1" xfId="0" applyFont="1" applyFill="1" applyBorder="1"/>
    <xf numFmtId="0" fontId="2" fillId="2" borderId="1" xfId="0" applyFont="1" applyFill="1" applyBorder="1"/>
    <xf numFmtId="0" fontId="0" fillId="2" borderId="1" xfId="0" applyFill="1" applyBorder="1"/>
    <xf numFmtId="2" fontId="0" fillId="2" borderId="1" xfId="0" applyNumberFormat="1" applyFill="1" applyBorder="1" applyAlignment="1">
      <alignment wrapText="1"/>
    </xf>
    <xf numFmtId="2" fontId="0" fillId="0" borderId="0" xfId="0" applyNumberFormat="1" applyAlignment="1">
      <alignment wrapText="1"/>
    </xf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1800" b="1"/>
              <a:t>System</a:t>
            </a:r>
            <a:r>
              <a:rPr lang="de-DE" sz="1800" b="1" baseline="0"/>
              <a:t>-level error anlaysis - Jais</a:t>
            </a:r>
            <a:endParaRPr lang="de-DE" sz="1800" b="1"/>
          </a:p>
          <a:p>
            <a:pPr>
              <a:defRPr sz="1800" b="1"/>
            </a:pPr>
            <a:r>
              <a:rPr lang="de-DE" sz="1800" b="1" baseline="0"/>
              <a:t>Source: DA Taregt:MSA</a:t>
            </a:r>
            <a:br>
              <a:rPr lang="de-DE" sz="1800" b="1" baseline="0"/>
            </a:br>
            <a:r>
              <a:rPr lang="de-DE" sz="1800" b="1" baseline="0"/>
              <a:t> 205 segments</a:t>
            </a:r>
            <a:endParaRPr lang="de-DE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614-44CF-870F-F03397B70296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614-44CF-870F-F03397B70296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614-44CF-870F-F03397B7029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('Annotator 1'!$C$210,'Annotator 1'!$C$212,'Annotator 1'!$C$214)</c:f>
              <c:strCache>
                <c:ptCount val="3"/>
                <c:pt idx="0">
                  <c:v>Segments with no editing required: SEGS=0</c:v>
                </c:pt>
                <c:pt idx="1">
                  <c:v>Segments with minor errors: 0.5 &lt; SEGS =&lt;1</c:v>
                </c:pt>
                <c:pt idx="2">
                  <c:v>Segments with major errors: 1 &lt; SEGS</c:v>
                </c:pt>
              </c:strCache>
            </c:strRef>
          </c:cat>
          <c:val>
            <c:numRef>
              <c:f>(Overall!$E$13,Overall!$E$15,Overall!$E$17)</c:f>
              <c:numCache>
                <c:formatCode>0%</c:formatCode>
                <c:ptCount val="3"/>
                <c:pt idx="0">
                  <c:v>0.36585365853658536</c:v>
                </c:pt>
                <c:pt idx="1">
                  <c:v>0.33658536585365856</c:v>
                </c:pt>
                <c:pt idx="2">
                  <c:v>0.29756097560975614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14-44CF-870F-F03397B70296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73855324744327"/>
          <c:y val="0.16053522925440789"/>
          <c:w val="0.50312811511201505"/>
          <c:h val="0.141276227126159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1800" b="1"/>
              <a:t>System</a:t>
            </a:r>
            <a:r>
              <a:rPr lang="de-DE" sz="1800" b="1" baseline="0"/>
              <a:t>-level error anlaysis - GPT3.5</a:t>
            </a:r>
            <a:endParaRPr lang="de-DE" sz="1800" b="1"/>
          </a:p>
          <a:p>
            <a:pPr>
              <a:defRPr sz="1800" b="1"/>
            </a:pPr>
            <a:r>
              <a:rPr lang="de-DE" sz="1800" b="1" baseline="0"/>
              <a:t>Source: DA Taregt:MSA</a:t>
            </a:r>
            <a:br>
              <a:rPr lang="de-DE" sz="1800" b="1" baseline="0"/>
            </a:br>
            <a:r>
              <a:rPr lang="de-DE" sz="1800" b="1" baseline="0"/>
              <a:t> 205 segments</a:t>
            </a:r>
            <a:endParaRPr lang="de-DE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614-44CF-870F-F03397B70296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614-44CF-870F-F03397B70296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614-44CF-870F-F03397B7029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('Annotator 1'!$C$210,'Annotator 1'!$C$212,'Annotator 1'!$C$214)</c:f>
              <c:strCache>
                <c:ptCount val="3"/>
                <c:pt idx="0">
                  <c:v>Segments with no editing required: SEGS=0</c:v>
                </c:pt>
                <c:pt idx="1">
                  <c:v>Segments with minor errors: 0.5 &lt; SEGS =&lt;1</c:v>
                </c:pt>
                <c:pt idx="2">
                  <c:v>Segments with major errors: 1 &lt; SEGS</c:v>
                </c:pt>
              </c:strCache>
            </c:strRef>
          </c:cat>
          <c:val>
            <c:numRef>
              <c:f>(Overall!$O$13,Overall!$O$15,Overall!$O$17)</c:f>
              <c:numCache>
                <c:formatCode>0%</c:formatCode>
                <c:ptCount val="3"/>
                <c:pt idx="0">
                  <c:v>0.38536585365853659</c:v>
                </c:pt>
                <c:pt idx="1">
                  <c:v>0.26341463414634148</c:v>
                </c:pt>
                <c:pt idx="2">
                  <c:v>0.35121951219512193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14-44CF-870F-F03397B70296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73855324744327"/>
          <c:y val="0.16053522925440789"/>
          <c:w val="0.50312811511201505"/>
          <c:h val="0.141276227126159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1800" b="1"/>
              <a:t>System</a:t>
            </a:r>
            <a:r>
              <a:rPr lang="de-DE" sz="1800" b="1" baseline="0"/>
              <a:t>-level error anlaysis - NLLB200</a:t>
            </a:r>
            <a:endParaRPr lang="de-DE" sz="1800" b="1"/>
          </a:p>
          <a:p>
            <a:pPr>
              <a:defRPr sz="1800" b="1"/>
            </a:pPr>
            <a:r>
              <a:rPr lang="de-DE" sz="1800" b="1" baseline="0"/>
              <a:t>Source: DA Taregt:MSA</a:t>
            </a:r>
            <a:br>
              <a:rPr lang="de-DE" sz="1800" b="1" baseline="0"/>
            </a:br>
            <a:r>
              <a:rPr lang="de-DE" sz="1800" b="1" baseline="0"/>
              <a:t> 205 segments</a:t>
            </a:r>
            <a:endParaRPr lang="de-DE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614-44CF-870F-F03397B70296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614-44CF-870F-F03397B70296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614-44CF-870F-F03397B7029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('Annotator 1'!$C$210,'Annotator 1'!$C$212,'Annotator 1'!$C$214)</c:f>
              <c:strCache>
                <c:ptCount val="3"/>
                <c:pt idx="0">
                  <c:v>Segments with no editing required: SEGS=0</c:v>
                </c:pt>
                <c:pt idx="1">
                  <c:v>Segments with minor errors: 0.5 &lt; SEGS =&lt;1</c:v>
                </c:pt>
                <c:pt idx="2">
                  <c:v>Segments with major errors: 1 &lt; SEGS</c:v>
                </c:pt>
              </c:strCache>
            </c:strRef>
          </c:cat>
          <c:val>
            <c:numRef>
              <c:f>(Overall!$X$13,Overall!$X$15,Overall!$X$17)</c:f>
              <c:numCache>
                <c:formatCode>0%</c:formatCode>
                <c:ptCount val="3"/>
                <c:pt idx="0">
                  <c:v>0.1926829268292683</c:v>
                </c:pt>
                <c:pt idx="1">
                  <c:v>0.19268292682926827</c:v>
                </c:pt>
                <c:pt idx="2">
                  <c:v>0.61463414634146352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14-44CF-870F-F03397B70296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73855324744327"/>
          <c:y val="0.16053522925440789"/>
          <c:w val="0.50312811511201505"/>
          <c:h val="0.141276227126159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1800" b="1"/>
              <a:t>System</a:t>
            </a:r>
            <a:r>
              <a:rPr lang="de-DE" sz="1800" b="1" baseline="0"/>
              <a:t>-level error anlaysis - Jais</a:t>
            </a:r>
            <a:endParaRPr lang="de-DE" sz="1800" b="1"/>
          </a:p>
          <a:p>
            <a:pPr>
              <a:defRPr sz="1800" b="1"/>
            </a:pPr>
            <a:r>
              <a:rPr lang="de-DE" sz="1800" b="1" baseline="0"/>
              <a:t>Source: DA Taregt:MSA</a:t>
            </a:r>
            <a:br>
              <a:rPr lang="de-DE" sz="1800" b="1" baseline="0"/>
            </a:br>
            <a:r>
              <a:rPr lang="de-DE" sz="1800" b="1" baseline="0"/>
              <a:t> 205 segments</a:t>
            </a:r>
            <a:endParaRPr lang="de-DE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574-4649-8F9B-CA97E792DA21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574-4649-8F9B-CA97E792DA21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574-4649-8F9B-CA97E792DA2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('Annotator 1'!$C$210,'Annotator 1'!$C$212,'Annotator 1'!$C$214)</c:f>
              <c:strCache>
                <c:ptCount val="3"/>
                <c:pt idx="0">
                  <c:v>Segments with no editing required: SEGS=0</c:v>
                </c:pt>
                <c:pt idx="1">
                  <c:v>Segments with minor errors: 0.5 &lt; SEGS =&lt;1</c:v>
                </c:pt>
                <c:pt idx="2">
                  <c:v>Segments with major errors: 1 &lt; SEGS</c:v>
                </c:pt>
              </c:strCache>
            </c:strRef>
          </c:cat>
          <c:val>
            <c:numRef>
              <c:f>('Annotator 1'!$D$211,'Annotator 1'!$D$213,'Annotator 1'!$D$215)</c:f>
              <c:numCache>
                <c:formatCode>0%</c:formatCode>
                <c:ptCount val="3"/>
                <c:pt idx="0">
                  <c:v>0.33170731707317075</c:v>
                </c:pt>
                <c:pt idx="1">
                  <c:v>0.34146341463414637</c:v>
                </c:pt>
                <c:pt idx="2">
                  <c:v>0.32682926829268294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74-4649-8F9B-CA97E792DA2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7385530543072645"/>
          <c:y val="0.17678281343906915"/>
          <c:w val="0.46671944354116723"/>
          <c:h val="0.1214180686782398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1800" b="1"/>
              <a:t>System</a:t>
            </a:r>
            <a:r>
              <a:rPr lang="de-DE" sz="1800" b="1" baseline="0"/>
              <a:t>-level error anlaysis - GPT3.5</a:t>
            </a:r>
            <a:endParaRPr lang="de-DE" sz="1800" b="1"/>
          </a:p>
          <a:p>
            <a:pPr>
              <a:defRPr sz="1800" b="1"/>
            </a:pPr>
            <a:r>
              <a:rPr lang="de-DE" sz="1800" b="1" baseline="0"/>
              <a:t>Source: DA Taregt:MSA</a:t>
            </a:r>
            <a:br>
              <a:rPr lang="de-DE" sz="1800" b="1" baseline="0"/>
            </a:br>
            <a:r>
              <a:rPr lang="de-DE" sz="1800" b="1" baseline="0"/>
              <a:t> 205 segments</a:t>
            </a:r>
            <a:endParaRPr lang="de-DE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864865476833899"/>
          <c:y val="0.3066438413711981"/>
          <c:w val="0.61452411119413486"/>
          <c:h val="0.6555799445471349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574-4649-8F9B-CA97E792DA21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574-4649-8F9B-CA97E792DA21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574-4649-8F9B-CA97E792DA2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('Annotator 1'!$C$210,'Annotator 1'!$C$212,'Annotator 1'!$C$214)</c:f>
              <c:strCache>
                <c:ptCount val="3"/>
                <c:pt idx="0">
                  <c:v>Segments with no editing required: SEGS=0</c:v>
                </c:pt>
                <c:pt idx="1">
                  <c:v>Segments with minor errors: 0.5 &lt; SEGS =&lt;1</c:v>
                </c:pt>
                <c:pt idx="2">
                  <c:v>Segments with major errors: 1 &lt; SEGS</c:v>
                </c:pt>
              </c:strCache>
            </c:strRef>
          </c:cat>
          <c:val>
            <c:numRef>
              <c:f>('Annotator 1'!$M$211,'Annotator 1'!$M$213,'Annotator 1'!$M$215)</c:f>
              <c:numCache>
                <c:formatCode>0%</c:formatCode>
                <c:ptCount val="3"/>
                <c:pt idx="0">
                  <c:v>0.50731707317073171</c:v>
                </c:pt>
                <c:pt idx="1">
                  <c:v>0.12195121951219512</c:v>
                </c:pt>
                <c:pt idx="2">
                  <c:v>0.37073170731707317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74-4649-8F9B-CA97E792DA2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7854390203322987"/>
          <c:y val="0.15510838514535369"/>
          <c:w val="0.46510668956917406"/>
          <c:h val="0.1214180686782398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1800" b="1"/>
              <a:t>System</a:t>
            </a:r>
            <a:r>
              <a:rPr lang="de-DE" sz="1800" b="1" baseline="0"/>
              <a:t>-level error anlaysis - NLLB200</a:t>
            </a:r>
            <a:endParaRPr lang="de-DE" sz="1800" b="1"/>
          </a:p>
          <a:p>
            <a:pPr>
              <a:defRPr sz="1800" b="1"/>
            </a:pPr>
            <a:r>
              <a:rPr lang="de-DE" sz="1800" b="1" baseline="0"/>
              <a:t>Source: DA Taregt:MSA</a:t>
            </a:r>
            <a:br>
              <a:rPr lang="de-DE" sz="1800" b="1" baseline="0"/>
            </a:br>
            <a:r>
              <a:rPr lang="de-DE" sz="1800" b="1" baseline="0"/>
              <a:t> 205 segments</a:t>
            </a:r>
            <a:endParaRPr lang="de-DE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864865476833899"/>
          <c:y val="0.3066438413711981"/>
          <c:w val="0.61452411119413486"/>
          <c:h val="0.6555799445471349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574-4649-8F9B-CA97E792DA21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574-4649-8F9B-CA97E792DA21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574-4649-8F9B-CA97E792DA2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('Annotator 1'!$C$210,'Annotator 1'!$C$212,'Annotator 1'!$C$214)</c:f>
              <c:strCache>
                <c:ptCount val="3"/>
                <c:pt idx="0">
                  <c:v>Segments with no editing required: SEGS=0</c:v>
                </c:pt>
                <c:pt idx="1">
                  <c:v>Segments with minor errors: 0.5 &lt; SEGS =&lt;1</c:v>
                </c:pt>
                <c:pt idx="2">
                  <c:v>Segments with major errors: 1 &lt; SEGS</c:v>
                </c:pt>
              </c:strCache>
            </c:strRef>
          </c:cat>
          <c:val>
            <c:numRef>
              <c:f>('Annotator 1'!$V$211,'Annotator 1'!$V$213,'Annotator 1'!$V$215)</c:f>
              <c:numCache>
                <c:formatCode>0%</c:formatCode>
                <c:ptCount val="3"/>
                <c:pt idx="0">
                  <c:v>0.21463414634146341</c:v>
                </c:pt>
                <c:pt idx="1">
                  <c:v>0.1024390243902439</c:v>
                </c:pt>
                <c:pt idx="2">
                  <c:v>0.68292682926829273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74-4649-8F9B-CA97E792DA2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7854390203322987"/>
          <c:y val="0.15510838514535369"/>
          <c:w val="0.46510668956917406"/>
          <c:h val="0.1214180686782398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1800" b="1"/>
              <a:t>System</a:t>
            </a:r>
            <a:r>
              <a:rPr lang="de-DE" sz="1800" b="1" baseline="0"/>
              <a:t>-level error anlaysis - Jais</a:t>
            </a:r>
            <a:endParaRPr lang="de-DE" sz="1800" b="1"/>
          </a:p>
          <a:p>
            <a:pPr>
              <a:defRPr sz="1800" b="1"/>
            </a:pPr>
            <a:r>
              <a:rPr lang="de-DE" sz="1800" b="1" baseline="0"/>
              <a:t>Source: DA Taregt:MSA</a:t>
            </a:r>
            <a:br>
              <a:rPr lang="de-DE" sz="1800" b="1" baseline="0"/>
            </a:br>
            <a:r>
              <a:rPr lang="de-DE" sz="1800" b="1" baseline="0"/>
              <a:t> 205 segments</a:t>
            </a:r>
            <a:endParaRPr lang="de-DE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5A1-4FBF-855D-83BF36C7FC64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5A1-4FBF-855D-83BF36C7FC64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5A1-4FBF-855D-83BF36C7FC6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('Annotator 2'!$C$210,'Annotator 2'!$C$212,'Annotator 2'!$C$214)</c:f>
              <c:strCache>
                <c:ptCount val="3"/>
                <c:pt idx="0">
                  <c:v>Segments with no editing required: error score =0</c:v>
                </c:pt>
                <c:pt idx="1">
                  <c:v>Segments with minor errors: 0.5 &lt; error score =&lt;1</c:v>
                </c:pt>
                <c:pt idx="2">
                  <c:v>Segments with major errors: 1 &lt; error score</c:v>
                </c:pt>
              </c:strCache>
            </c:strRef>
          </c:cat>
          <c:val>
            <c:numRef>
              <c:f>('Annotator 2'!$D$211,'Annotator 2'!$D$213,'Annotator 2'!$D$215)</c:f>
              <c:numCache>
                <c:formatCode>0%</c:formatCode>
                <c:ptCount val="3"/>
                <c:pt idx="0">
                  <c:v>0.4</c:v>
                </c:pt>
                <c:pt idx="1">
                  <c:v>0.33170731707317075</c:v>
                </c:pt>
                <c:pt idx="2">
                  <c:v>0.26829268292682928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5A1-4FBF-855D-83BF36C7FC6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7385530543072645"/>
          <c:y val="0.17678281343906915"/>
          <c:w val="0.46565719880227002"/>
          <c:h val="0.122114225922819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1800" b="1"/>
              <a:t>System</a:t>
            </a:r>
            <a:r>
              <a:rPr lang="de-DE" sz="1800" b="1" baseline="0"/>
              <a:t>-level error anlaysis - GPT3.5</a:t>
            </a:r>
            <a:endParaRPr lang="de-DE" sz="1800" b="1"/>
          </a:p>
          <a:p>
            <a:pPr>
              <a:defRPr sz="1800" b="1"/>
            </a:pPr>
            <a:r>
              <a:rPr lang="de-DE" sz="1800" b="1" baseline="0"/>
              <a:t>Source: DA Taregt:MSA</a:t>
            </a:r>
            <a:br>
              <a:rPr lang="de-DE" sz="1800" b="1" baseline="0"/>
            </a:br>
            <a:r>
              <a:rPr lang="de-DE" sz="1800" b="1" baseline="0"/>
              <a:t> 205 segments</a:t>
            </a:r>
            <a:endParaRPr lang="de-DE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864865476833899"/>
          <c:y val="0.3066438413711981"/>
          <c:w val="0.61452411119413486"/>
          <c:h val="0.6555799445471349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615-4A0A-8108-E79742E8106E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615-4A0A-8108-E79742E8106E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615-4A0A-8108-E79742E8106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('Annotator 2'!$C$210,'Annotator 2'!$C$212,'Annotator 2'!$C$214)</c:f>
              <c:strCache>
                <c:ptCount val="3"/>
                <c:pt idx="0">
                  <c:v>Segments with no editing required: error score =0</c:v>
                </c:pt>
                <c:pt idx="1">
                  <c:v>Segments with minor errors: 0.5 &lt; error score =&lt;1</c:v>
                </c:pt>
                <c:pt idx="2">
                  <c:v>Segments with major errors: 1 &lt; error score</c:v>
                </c:pt>
              </c:strCache>
            </c:strRef>
          </c:cat>
          <c:val>
            <c:numRef>
              <c:f>('Annotator 2'!$M$211,'Annotator 2'!$M$213,'Annotator 2'!$M$215)</c:f>
              <c:numCache>
                <c:formatCode>0%</c:formatCode>
                <c:ptCount val="3"/>
                <c:pt idx="0">
                  <c:v>0.26341463414634148</c:v>
                </c:pt>
                <c:pt idx="1">
                  <c:v>0.40487804878048783</c:v>
                </c:pt>
                <c:pt idx="2">
                  <c:v>0.33170731707317075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615-4A0A-8108-E79742E8106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7854390203322987"/>
          <c:y val="0.15510838514535369"/>
          <c:w val="0.46510668956917406"/>
          <c:h val="0.1214180686782398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1800" b="1"/>
              <a:t>System</a:t>
            </a:r>
            <a:r>
              <a:rPr lang="de-DE" sz="1800" b="1" baseline="0"/>
              <a:t>-level error anlaysis - NLLB200</a:t>
            </a:r>
            <a:endParaRPr lang="de-DE" sz="1800" b="1"/>
          </a:p>
          <a:p>
            <a:pPr>
              <a:defRPr sz="1800" b="1"/>
            </a:pPr>
            <a:r>
              <a:rPr lang="de-DE" sz="1800" b="1" baseline="0"/>
              <a:t>Source: DA Taregt:MSA</a:t>
            </a:r>
            <a:br>
              <a:rPr lang="de-DE" sz="1800" b="1" baseline="0"/>
            </a:br>
            <a:r>
              <a:rPr lang="de-DE" sz="1800" b="1" baseline="0"/>
              <a:t> 205 segments</a:t>
            </a:r>
            <a:endParaRPr lang="de-DE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864865476833899"/>
          <c:y val="0.3066438413711981"/>
          <c:w val="0.61452411119413486"/>
          <c:h val="0.6555799445471349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285-4BC9-B2A3-27F3CB34CC7F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285-4BC9-B2A3-27F3CB34CC7F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285-4BC9-B2A3-27F3CB34CC7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('Annotator 2'!$C$210,'Annotator 2'!$C$212,'Annotator 2'!$C$214)</c:f>
              <c:strCache>
                <c:ptCount val="3"/>
                <c:pt idx="0">
                  <c:v>Segments with no editing required: error score =0</c:v>
                </c:pt>
                <c:pt idx="1">
                  <c:v>Segments with minor errors: 0.5 &lt; error score =&lt;1</c:v>
                </c:pt>
                <c:pt idx="2">
                  <c:v>Segments with major errors: 1 &lt; error score</c:v>
                </c:pt>
              </c:strCache>
            </c:strRef>
          </c:cat>
          <c:val>
            <c:numRef>
              <c:f>('Annotator 2'!$V$211,'Annotator 2'!$V$213,'Annotator 2'!$V$215)</c:f>
              <c:numCache>
                <c:formatCode>0%</c:formatCode>
                <c:ptCount val="3"/>
                <c:pt idx="0">
                  <c:v>0.17073170731707318</c:v>
                </c:pt>
                <c:pt idx="1">
                  <c:v>0.28292682926829266</c:v>
                </c:pt>
                <c:pt idx="2">
                  <c:v>0.54634146341463419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85-4BC9-B2A3-27F3CB34CC7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7854390203322987"/>
          <c:y val="0.15510838514535369"/>
          <c:w val="0.46510668956917406"/>
          <c:h val="0.1214180686782398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21</xdr:row>
      <xdr:rowOff>176893</xdr:rowOff>
    </xdr:from>
    <xdr:to>
      <xdr:col>6</xdr:col>
      <xdr:colOff>385535</xdr:colOff>
      <xdr:row>58</xdr:row>
      <xdr:rowOff>163285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5A9670C-7120-48C4-BF93-CDF626A434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29936</xdr:colOff>
      <xdr:row>21</xdr:row>
      <xdr:rowOff>125185</xdr:rowOff>
    </xdr:from>
    <xdr:to>
      <xdr:col>17</xdr:col>
      <xdr:colOff>170542</xdr:colOff>
      <xdr:row>58</xdr:row>
      <xdr:rowOff>111577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EAE65C3-5CB7-338E-6AC3-60D1D1E129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73478</xdr:colOff>
      <xdr:row>21</xdr:row>
      <xdr:rowOff>87085</xdr:rowOff>
    </xdr:from>
    <xdr:to>
      <xdr:col>27</xdr:col>
      <xdr:colOff>567870</xdr:colOff>
      <xdr:row>58</xdr:row>
      <xdr:rowOff>73477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50BF470-8B63-1728-588C-FD6C4C1DCD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</xdr:col>
      <xdr:colOff>1314450</xdr:colOff>
      <xdr:row>67</xdr:row>
      <xdr:rowOff>0</xdr:rowOff>
    </xdr:from>
    <xdr:to>
      <xdr:col>10</xdr:col>
      <xdr:colOff>266700</xdr:colOff>
      <xdr:row>91</xdr:row>
      <xdr:rowOff>56861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59C7537-02EF-3752-D4C2-A67A6708EA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0" y="14820900"/>
          <a:ext cx="7772400" cy="4628861"/>
        </a:xfrm>
        <a:prstGeom prst="rect">
          <a:avLst/>
        </a:prstGeom>
      </xdr:spPr>
    </xdr:pic>
    <xdr:clientData/>
  </xdr:twoCellAnchor>
  <xdr:twoCellAnchor editAs="oneCell">
    <xdr:from>
      <xdr:col>11</xdr:col>
      <xdr:colOff>488950</xdr:colOff>
      <xdr:row>67</xdr:row>
      <xdr:rowOff>19050</xdr:rowOff>
    </xdr:from>
    <xdr:to>
      <xdr:col>17</xdr:col>
      <xdr:colOff>469900</xdr:colOff>
      <xdr:row>91</xdr:row>
      <xdr:rowOff>75911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AD3ABB2-C9C9-87E2-5C6E-E7806F81F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0550" y="14624050"/>
          <a:ext cx="8896350" cy="493366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4694466</xdr:colOff>
      <xdr:row>217</xdr:row>
      <xdr:rowOff>40821</xdr:rowOff>
    </xdr:from>
    <xdr:to>
      <xdr:col>4</xdr:col>
      <xdr:colOff>272144</xdr:colOff>
      <xdr:row>241</xdr:row>
      <xdr:rowOff>217713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C01F2D-FDF1-436E-9811-A82EA7312C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5037366</xdr:colOff>
      <xdr:row>215</xdr:row>
      <xdr:rowOff>212270</xdr:rowOff>
    </xdr:from>
    <xdr:to>
      <xdr:col>15</xdr:col>
      <xdr:colOff>152400</xdr:colOff>
      <xdr:row>242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C4DE302-D366-6EB2-E3FD-2FCE92F6FB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3513366</xdr:colOff>
      <xdr:row>216</xdr:row>
      <xdr:rowOff>136070</xdr:rowOff>
    </xdr:from>
    <xdr:to>
      <xdr:col>22</xdr:col>
      <xdr:colOff>552450</xdr:colOff>
      <xdr:row>243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0701536-966C-A0BD-22C1-C35BF9CE74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4495800</xdr:colOff>
      <xdr:row>220</xdr:row>
      <xdr:rowOff>263359</xdr:rowOff>
    </xdr:from>
    <xdr:to>
      <xdr:col>4</xdr:col>
      <xdr:colOff>426738</xdr:colOff>
      <xdr:row>245</xdr:row>
      <xdr:rowOff>114396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467C7D-C353-44D0-9476-832065E20F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4961355</xdr:colOff>
      <xdr:row>219</xdr:row>
      <xdr:rowOff>152400</xdr:rowOff>
    </xdr:from>
    <xdr:to>
      <xdr:col>15</xdr:col>
      <xdr:colOff>13558</xdr:colOff>
      <xdr:row>246</xdr:row>
      <xdr:rowOff>9312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66E6867-5BC8-4D0C-A40E-298A8BBBBA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3200400</xdr:colOff>
      <xdr:row>220</xdr:row>
      <xdr:rowOff>74529</xdr:rowOff>
    </xdr:from>
    <xdr:to>
      <xdr:col>21</xdr:col>
      <xdr:colOff>255192</xdr:colOff>
      <xdr:row>246</xdr:row>
      <xdr:rowOff>217191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ECBA3B-0DA8-46E6-9FF3-C8252D5FFA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B465A-286F-4126-831D-A297EC69F8D6}">
  <dimension ref="A8:AC17"/>
  <sheetViews>
    <sheetView tabSelected="1" zoomScale="75" zoomScaleNormal="50" workbookViewId="0">
      <selection activeCell="U31" sqref="U31"/>
    </sheetView>
  </sheetViews>
  <sheetFormatPr baseColWidth="10" defaultColWidth="8.83203125" defaultRowHeight="15" x14ac:dyDescent="0.2"/>
  <cols>
    <col min="4" max="4" width="72.33203125" customWidth="1"/>
    <col min="5" max="5" width="11.33203125" bestFit="1" customWidth="1"/>
    <col min="6" max="8" width="9.33203125" bestFit="1" customWidth="1"/>
    <col min="9" max="9" width="9.5" bestFit="1" customWidth="1"/>
    <col min="10" max="10" width="10.6640625" bestFit="1" customWidth="1"/>
    <col min="12" max="13" width="9.1640625" customWidth="1"/>
    <col min="14" max="14" width="66.5" customWidth="1"/>
    <col min="15" max="15" width="13.5" customWidth="1"/>
    <col min="23" max="23" width="62.33203125" customWidth="1"/>
    <col min="24" max="24" width="12.5" customWidth="1"/>
    <col min="29" max="29" width="14" customWidth="1"/>
    <col min="34" max="34" width="36.5" customWidth="1"/>
    <col min="35" max="35" width="29.5" customWidth="1"/>
    <col min="36" max="36" width="23.5" customWidth="1"/>
    <col min="37" max="37" width="29.1640625" customWidth="1"/>
    <col min="38" max="38" width="9.1640625" customWidth="1"/>
  </cols>
  <sheetData>
    <row r="8" spans="1:29" ht="21" x14ac:dyDescent="0.2">
      <c r="D8" s="3" t="s">
        <v>1031</v>
      </c>
      <c r="E8" s="14" t="s">
        <v>1000</v>
      </c>
      <c r="F8" s="14" t="s">
        <v>1</v>
      </c>
      <c r="G8" s="14" t="s">
        <v>0</v>
      </c>
      <c r="H8" s="14" t="s">
        <v>3</v>
      </c>
      <c r="I8" s="14" t="s">
        <v>1001</v>
      </c>
      <c r="J8" s="23" t="s">
        <v>2</v>
      </c>
      <c r="N8" s="4" t="s">
        <v>1032</v>
      </c>
      <c r="O8" s="18" t="s">
        <v>1000</v>
      </c>
      <c r="P8" s="18" t="s">
        <v>1</v>
      </c>
      <c r="Q8" s="18" t="s">
        <v>0</v>
      </c>
      <c r="R8" s="18" t="s">
        <v>3</v>
      </c>
      <c r="S8" s="29" t="s">
        <v>1001</v>
      </c>
      <c r="T8" s="30" t="s">
        <v>2</v>
      </c>
      <c r="W8" s="5" t="s">
        <v>1033</v>
      </c>
      <c r="X8" s="19" t="s">
        <v>1000</v>
      </c>
      <c r="Y8" s="19" t="s">
        <v>1</v>
      </c>
      <c r="Z8" s="19" t="s">
        <v>0</v>
      </c>
      <c r="AA8" s="19" t="s">
        <v>3</v>
      </c>
      <c r="AB8" s="32" t="s">
        <v>1001</v>
      </c>
      <c r="AC8" s="38" t="s">
        <v>2</v>
      </c>
    </row>
    <row r="9" spans="1:29" ht="24" x14ac:dyDescent="0.3">
      <c r="A9" s="43"/>
      <c r="B9" s="43"/>
      <c r="C9" s="43"/>
      <c r="D9" s="1" t="str">
        <f>'Annotator 1'!C207</f>
        <v>Total system error score</v>
      </c>
      <c r="E9" s="17">
        <f>('Annotator 1'!D207+'Annotator 2'!D207)/2</f>
        <v>36</v>
      </c>
      <c r="F9" s="43">
        <f>('Annotator 1'!E207+'Annotator 2'!E207)/2</f>
        <v>5</v>
      </c>
      <c r="G9" s="43">
        <f>('Annotator 1'!F207+'Annotator 2'!F207)/2</f>
        <v>68</v>
      </c>
      <c r="H9" s="43">
        <f>('Annotator 1'!G207+'Annotator 2'!G207)/2</f>
        <v>54.5</v>
      </c>
      <c r="I9" s="41">
        <f>('Annotator 1'!H207+'Annotator 2'!H207)/2</f>
        <v>24</v>
      </c>
      <c r="J9" s="41">
        <f>('Annotator 1'!I207+'Annotator 2'!I207)/2</f>
        <v>187.5</v>
      </c>
      <c r="N9" s="1" t="str">
        <f>'Annotator 1'!L207</f>
        <v>Total system error score</v>
      </c>
      <c r="O9" s="17">
        <f>('Annotator 1'!M207+'Annotator 2'!M207)/2</f>
        <v>31.5</v>
      </c>
      <c r="P9" s="13">
        <f>('Annotator 1'!N207+'Annotator 2'!N207)/2</f>
        <v>3</v>
      </c>
      <c r="Q9" s="13">
        <f>('Annotator 1'!O207+'Annotator 2'!O207)/2</f>
        <v>64</v>
      </c>
      <c r="R9" s="13">
        <f>('Annotator 1'!P207+'Annotator 2'!P207)/2</f>
        <v>74</v>
      </c>
      <c r="S9" s="21">
        <f>('Annotator 1'!Q207+'Annotator 2'!Q207)/2</f>
        <v>24.25</v>
      </c>
      <c r="T9" s="21">
        <f>('Annotator 1'!R207+'Annotator 2'!R207)/2</f>
        <v>196.75</v>
      </c>
      <c r="W9" s="1" t="str">
        <f>'Annotator 1'!U207</f>
        <v>Total system error score</v>
      </c>
      <c r="X9" s="17">
        <f>('Annotator 1'!V207+'Annotator 2'!V207)/2</f>
        <v>30</v>
      </c>
      <c r="Y9" s="43">
        <f>('Annotator 1'!W207+'Annotator 2'!W207)/2</f>
        <v>6.5</v>
      </c>
      <c r="Z9" s="43">
        <f>('Annotator 1'!X207+'Annotator 2'!X207)/2</f>
        <v>141</v>
      </c>
      <c r="AA9" s="43">
        <f>('Annotator 1'!Y207+'Annotator 2'!Y207)/2</f>
        <v>109</v>
      </c>
      <c r="AB9" s="41">
        <f>('Annotator 1'!Z207+'Annotator 2'!Z207)/2</f>
        <v>11</v>
      </c>
      <c r="AC9" s="41">
        <f>('Annotator 1'!AA207+'Annotator 2'!AA207)/2</f>
        <v>297.5</v>
      </c>
    </row>
    <row r="10" spans="1:29" ht="24" x14ac:dyDescent="0.3">
      <c r="A10" s="43"/>
      <c r="B10" s="43"/>
      <c r="C10" s="43"/>
      <c r="D10" s="1" t="str">
        <f>'Annotator 1'!C208</f>
        <v>Percentage of error X out of all errors</v>
      </c>
      <c r="E10" s="35">
        <f>('Annotator 1'!D208+'Annotator 2'!D208)/2</f>
        <v>0.19196733439562941</v>
      </c>
      <c r="F10" s="47">
        <f>('Annotator 1'!E208+'Annotator 2'!E208)/2</f>
        <v>2.6377190985659004E-2</v>
      </c>
      <c r="G10" s="47">
        <f>('Annotator 1'!F208+'Annotator 2'!F208)/2</f>
        <v>0.36249430912815844</v>
      </c>
      <c r="H10" s="47">
        <f>('Annotator 1'!G208+'Annotator 2'!G208)/2</f>
        <v>0.29051900751195081</v>
      </c>
      <c r="I10" s="47">
        <f>('Annotator 1'!H208+'Annotator 2'!H208)/2</f>
        <v>0.12864215797860232</v>
      </c>
      <c r="J10" s="43"/>
      <c r="N10" s="1" t="str">
        <f>'Annotator 1'!L208</f>
        <v>Percentage of error X out of all errors</v>
      </c>
      <c r="O10" s="33">
        <f>('Annotator 1'!M208+'Annotator 2'!M208)/2</f>
        <v>0.15893645939517498</v>
      </c>
      <c r="P10" s="34">
        <f>('Annotator 1'!N208+'Annotator 2'!N208)/2</f>
        <v>1.4872317624611203E-2</v>
      </c>
      <c r="Q10" s="34">
        <f>('Annotator 1'!O208+'Annotator 2'!O208)/2</f>
        <v>0.32745889855981603</v>
      </c>
      <c r="R10" s="34">
        <f>('Annotator 1'!P208+'Annotator 2'!P208)/2</f>
        <v>0.38443895553987295</v>
      </c>
      <c r="S10" s="34">
        <f>('Annotator 1'!Q208+'Annotator 2'!Q208)/2</f>
        <v>0.11429336888052485</v>
      </c>
      <c r="T10" s="21"/>
      <c r="W10" s="1" t="str">
        <f>'Annotator 1'!U208</f>
        <v>Percentage of error X out of all errors</v>
      </c>
      <c r="X10" s="35">
        <f>('Annotator 1'!V208+'Annotator 2'!V208)/2</f>
        <v>0.10093186562379068</v>
      </c>
      <c r="Y10" s="47">
        <f>('Annotator 1'!W208+'Annotator 2'!W208)/2</f>
        <v>2.189983080099768E-2</v>
      </c>
      <c r="Z10" s="47">
        <f>('Annotator 1'!X208+'Annotator 2'!X208)/2</f>
        <v>0.47364986822815591</v>
      </c>
      <c r="AA10" s="47">
        <f>('Annotator 1'!Y208+'Annotator 2'!Y208)/2</f>
        <v>0.36645848692591687</v>
      </c>
      <c r="AB10" s="47">
        <f>('Annotator 1'!Z208+'Annotator 2'!Z208)/2</f>
        <v>3.7059948421138862E-2</v>
      </c>
      <c r="AC10" s="43"/>
    </row>
    <row r="11" spans="1:29" ht="24" x14ac:dyDescent="0.3">
      <c r="A11" s="43"/>
      <c r="B11" s="43"/>
      <c r="C11" s="43"/>
      <c r="D11" s="1" t="str">
        <f>'Annotator 1'!C209</f>
        <v>Average error score per segment (not %) - max 4</v>
      </c>
      <c r="E11" s="28">
        <f>('Annotator 1'!D209+'Annotator 2'!D209)/2</f>
        <v>0.91463414634146345</v>
      </c>
      <c r="F11" s="43"/>
      <c r="G11" s="43"/>
      <c r="H11" s="43"/>
      <c r="I11" s="43"/>
      <c r="J11" s="43"/>
      <c r="N11" s="1" t="str">
        <f>'Annotator 1'!L209</f>
        <v>Average error score per segment (not %) - max 4</v>
      </c>
      <c r="O11" s="28">
        <f>('Annotator 1'!M209+'Annotator 2'!M209)/2</f>
        <v>0.95975609756097557</v>
      </c>
      <c r="P11" s="13"/>
      <c r="Q11" s="13"/>
      <c r="R11" s="13"/>
      <c r="S11" s="13"/>
      <c r="T11" s="13"/>
      <c r="W11" s="1" t="str">
        <f>'Annotator 1'!U209</f>
        <v>Average error score per segment (not %) - max 4</v>
      </c>
      <c r="X11" s="28">
        <f>('Annotator 1'!V209+'Annotator 2'!V209)/2</f>
        <v>1.4512195121951219</v>
      </c>
      <c r="Y11" s="43"/>
      <c r="Z11" s="43"/>
      <c r="AA11" s="43"/>
      <c r="AB11" s="43"/>
      <c r="AC11" s="43"/>
    </row>
    <row r="12" spans="1:29" ht="24" x14ac:dyDescent="0.3">
      <c r="A12" s="43"/>
      <c r="B12" s="43"/>
      <c r="C12" s="43"/>
      <c r="D12" s="36" t="str">
        <f>'Annotator 1'!C210</f>
        <v>Segments with no editing required: SEGS=0</v>
      </c>
      <c r="E12" s="44">
        <f>('Annotator 1'!D210+'Annotator 2'!D210)/2</f>
        <v>75</v>
      </c>
      <c r="F12" s="43"/>
      <c r="G12" s="43"/>
      <c r="H12" s="43"/>
      <c r="I12" s="43"/>
      <c r="J12" s="43"/>
      <c r="N12" s="36" t="str">
        <f>'Annotator 1'!L210</f>
        <v>Segments with no editing required: error score =0</v>
      </c>
      <c r="O12" s="44">
        <f>('Annotator 1'!M210+'Annotator 2'!M210)/2</f>
        <v>79</v>
      </c>
      <c r="P12" s="13"/>
      <c r="Q12" s="13"/>
      <c r="R12" s="13"/>
      <c r="S12" s="13"/>
      <c r="T12" s="13"/>
      <c r="W12" s="36" t="str">
        <f>'Annotator 1'!U210</f>
        <v>Segments with no editing required: error score =0</v>
      </c>
      <c r="X12" s="44">
        <f>('Annotator 1'!V210+'Annotator 2'!V210)/2</f>
        <v>39.5</v>
      </c>
      <c r="Y12" s="43"/>
      <c r="Z12" s="43"/>
      <c r="AA12" s="43"/>
      <c r="AB12" s="43"/>
      <c r="AC12" s="43"/>
    </row>
    <row r="13" spans="1:29" ht="24" x14ac:dyDescent="0.3">
      <c r="A13" s="43"/>
      <c r="B13" s="43"/>
      <c r="C13" s="43"/>
      <c r="D13" s="36" t="str">
        <f>'Annotator 1'!C211</f>
        <v>Percentage of Segments with no editing required</v>
      </c>
      <c r="E13" s="37">
        <f>('Annotator 1'!D211+'Annotator 2'!D211)/2</f>
        <v>0.36585365853658536</v>
      </c>
      <c r="F13" s="43"/>
      <c r="G13" s="43"/>
      <c r="H13" s="43"/>
      <c r="I13" s="43"/>
      <c r="J13" s="43"/>
      <c r="N13" s="36" t="str">
        <f>'Annotator 1'!L211</f>
        <v>Percentage of Segments with no editing required</v>
      </c>
      <c r="O13" s="37">
        <f>('Annotator 1'!M211+'Annotator 2'!M211)/2</f>
        <v>0.38536585365853659</v>
      </c>
      <c r="P13" s="13"/>
      <c r="Q13" s="13"/>
      <c r="R13" s="13"/>
      <c r="S13" s="13"/>
      <c r="T13" s="13"/>
      <c r="W13" s="36" t="str">
        <f>'Annotator 1'!U211</f>
        <v>Percentage of Segments with no editing required</v>
      </c>
      <c r="X13" s="37">
        <f>('Annotator 1'!V211+'Annotator 2'!V211)/2</f>
        <v>0.1926829268292683</v>
      </c>
      <c r="Y13" s="43"/>
      <c r="Z13" s="43"/>
      <c r="AA13" s="43"/>
      <c r="AB13" s="43"/>
      <c r="AC13" s="43"/>
    </row>
    <row r="14" spans="1:29" ht="24" x14ac:dyDescent="0.3">
      <c r="A14" s="43"/>
      <c r="B14" s="43"/>
      <c r="C14" s="43"/>
      <c r="D14" s="54" t="str">
        <f>'Annotator 1'!C212</f>
        <v>Segments with minor errors: 0.5 &lt; SEGS =&lt;1</v>
      </c>
      <c r="E14" s="56">
        <f>('Annotator 1'!D212+'Annotator 2'!D212)/2</f>
        <v>69</v>
      </c>
      <c r="F14" s="43"/>
      <c r="G14" s="43"/>
      <c r="H14" s="43"/>
      <c r="I14" s="43"/>
      <c r="J14" s="43"/>
      <c r="N14" s="54" t="str">
        <f>'Annotator 1'!L212</f>
        <v>Segments with minor errors: 0.5 &lt; error score =&lt;1</v>
      </c>
      <c r="O14" s="56">
        <f>('Annotator 1'!M212+'Annotator 2'!M212)/2</f>
        <v>54</v>
      </c>
      <c r="P14" s="13"/>
      <c r="Q14" s="13"/>
      <c r="R14" s="13"/>
      <c r="S14" s="13"/>
      <c r="T14" s="13"/>
      <c r="W14" s="54" t="str">
        <f>'Annotator 1'!U212</f>
        <v>Segments with minor errors: 0.5 &lt; error score =&lt;1</v>
      </c>
      <c r="X14" s="56">
        <f>('Annotator 1'!V212+'Annotator 2'!V212)/2</f>
        <v>39.5</v>
      </c>
      <c r="Y14" s="43"/>
      <c r="Z14" s="43"/>
      <c r="AA14" s="43"/>
      <c r="AB14" s="43"/>
      <c r="AC14" s="43"/>
    </row>
    <row r="15" spans="1:29" ht="24" x14ac:dyDescent="0.3">
      <c r="A15" s="43"/>
      <c r="B15" s="43"/>
      <c r="C15" s="43"/>
      <c r="D15" s="54" t="str">
        <f>'Annotator 1'!C213</f>
        <v>Percentage of Segments with minor errors</v>
      </c>
      <c r="E15" s="55">
        <f>('Annotator 1'!D213+'Annotator 2'!D213)/2</f>
        <v>0.33658536585365856</v>
      </c>
      <c r="F15" s="43"/>
      <c r="G15" s="43"/>
      <c r="H15" s="43"/>
      <c r="I15" s="43"/>
      <c r="J15" s="43"/>
      <c r="N15" s="54" t="str">
        <f>'Annotator 1'!L213</f>
        <v>Percentage of Segments with minor errors</v>
      </c>
      <c r="O15" s="55">
        <f>('Annotator 1'!M213+'Annotator 2'!M213)/2</f>
        <v>0.26341463414634148</v>
      </c>
      <c r="P15" s="13"/>
      <c r="Q15" s="13"/>
      <c r="R15" s="13"/>
      <c r="S15" s="13"/>
      <c r="T15" s="13"/>
      <c r="W15" s="54" t="str">
        <f>'Annotator 1'!U213</f>
        <v>Percentage of Segments with minor errors</v>
      </c>
      <c r="X15" s="55">
        <f>('Annotator 1'!V213+'Annotator 2'!V213)/2</f>
        <v>0.19268292682926827</v>
      </c>
      <c r="Y15" s="43"/>
      <c r="Z15" s="43"/>
      <c r="AA15" s="43"/>
      <c r="AB15" s="43"/>
      <c r="AC15" s="43"/>
    </row>
    <row r="16" spans="1:29" ht="24" x14ac:dyDescent="0.3">
      <c r="A16" s="43"/>
      <c r="B16" s="43"/>
      <c r="C16" s="43"/>
      <c r="D16" s="52" t="str">
        <f>'Annotator 1'!C214</f>
        <v>Segments with major errors: 1 &lt; SEGS</v>
      </c>
      <c r="E16" s="57">
        <f>('Annotator 1'!D214+'Annotator 2'!D214)/2</f>
        <v>61</v>
      </c>
      <c r="F16" s="43"/>
      <c r="G16" s="43"/>
      <c r="H16" s="43"/>
      <c r="I16" s="43"/>
      <c r="J16" s="43"/>
      <c r="N16" s="52" t="str">
        <f>'Annotator 1'!L214</f>
        <v>Segments with major errors: 1 &lt; error score</v>
      </c>
      <c r="O16" s="57">
        <f>('Annotator 1'!M214+'Annotator 2'!M214)/2</f>
        <v>72</v>
      </c>
      <c r="P16" s="13"/>
      <c r="Q16" s="13"/>
      <c r="R16" s="13"/>
      <c r="S16" s="13"/>
      <c r="T16" s="13"/>
      <c r="W16" s="52" t="str">
        <f>'Annotator 1'!U214</f>
        <v>Segments with major errors: 1 &lt; error score</v>
      </c>
      <c r="X16" s="57">
        <f>('Annotator 1'!V214+'Annotator 2'!V214)/2</f>
        <v>126</v>
      </c>
      <c r="Y16" s="43"/>
      <c r="Z16" s="43"/>
      <c r="AA16" s="43"/>
      <c r="AB16" s="43"/>
      <c r="AC16" s="43"/>
    </row>
    <row r="17" spans="1:29" ht="24" x14ac:dyDescent="0.3">
      <c r="A17" s="43"/>
      <c r="B17" s="43"/>
      <c r="C17" s="43"/>
      <c r="D17" s="52" t="str">
        <f>'Annotator 1'!C215</f>
        <v>Percentage of Segments with major errors</v>
      </c>
      <c r="E17" s="53">
        <f>('Annotator 1'!D215+'Annotator 2'!D215)/2</f>
        <v>0.29756097560975614</v>
      </c>
      <c r="F17" s="43"/>
      <c r="G17" s="43"/>
      <c r="H17" s="43"/>
      <c r="I17" s="43"/>
      <c r="J17" s="43"/>
      <c r="N17" s="52" t="str">
        <f>'Annotator 1'!L215</f>
        <v>Percentage of Segments with major errors</v>
      </c>
      <c r="O17" s="53">
        <f>('Annotator 1'!M215+'Annotator 2'!M215)/2</f>
        <v>0.35121951219512193</v>
      </c>
      <c r="P17" s="13"/>
      <c r="Q17" s="13"/>
      <c r="R17" s="13"/>
      <c r="S17" s="13"/>
      <c r="T17" s="13"/>
      <c r="W17" s="52" t="str">
        <f>'Annotator 1'!U215</f>
        <v>Percentage of Segments with major errors</v>
      </c>
      <c r="X17" s="53">
        <f>('Annotator 1'!V215+'Annotator 2'!V215)/2</f>
        <v>0.61463414634146352</v>
      </c>
      <c r="Y17" s="43"/>
      <c r="Z17" s="43"/>
      <c r="AA17" s="43"/>
      <c r="AB17" s="43"/>
      <c r="AC17" s="4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E55D2-8F4E-43EC-B499-605421A8352C}">
  <sheetPr>
    <pageSetUpPr fitToPage="1"/>
  </sheetPr>
  <dimension ref="A1:AI215"/>
  <sheetViews>
    <sheetView zoomScale="40" zoomScaleNormal="40" workbookViewId="0">
      <pane ySplit="1" topLeftCell="A2" activePane="bottomLeft" state="frozen"/>
      <selection pane="bottomLeft" activeCell="C46" sqref="C46"/>
    </sheetView>
  </sheetViews>
  <sheetFormatPr baseColWidth="10" defaultColWidth="8.83203125" defaultRowHeight="23" x14ac:dyDescent="0.3"/>
  <cols>
    <col min="1" max="1" width="56.6640625" style="1" customWidth="1"/>
    <col min="2" max="2" width="82.6640625" style="1" customWidth="1"/>
    <col min="3" max="3" width="77.83203125" style="1" customWidth="1"/>
    <col min="4" max="4" width="15.6640625" style="17" customWidth="1"/>
    <col min="5" max="8" width="9.1640625" style="13"/>
    <col min="9" max="9" width="9.1640625" style="20"/>
    <col min="10" max="10" width="57.1640625" style="1" customWidth="1"/>
    <col min="11" max="11" width="83.5" style="1" customWidth="1"/>
    <col min="12" max="12" width="77.83203125" customWidth="1"/>
    <col min="13" max="13" width="15.1640625" style="17" customWidth="1"/>
    <col min="14" max="16" width="9.1640625" style="13"/>
    <col min="17" max="17" width="9.1640625" style="21"/>
    <col min="18" max="18" width="9.1640625" style="21" customWidth="1"/>
    <col min="19" max="19" width="56.83203125" style="1" customWidth="1"/>
    <col min="20" max="20" width="83.5" style="1" customWidth="1"/>
    <col min="21" max="21" width="71.33203125" customWidth="1"/>
    <col min="22" max="22" width="11.1640625" style="17" customWidth="1"/>
    <col min="23" max="25" width="9.1640625" style="13"/>
    <col min="26" max="26" width="9.1640625" style="21"/>
    <col min="27" max="27" width="9.1640625" style="40"/>
    <col min="33" max="33" width="45.1640625" style="65" customWidth="1"/>
    <col min="34" max="34" width="45.5" style="61" customWidth="1"/>
    <col min="35" max="35" width="46" style="68" customWidth="1"/>
  </cols>
  <sheetData>
    <row r="1" spans="1:35" s="6" customFormat="1" ht="50" customHeight="1" x14ac:dyDescent="0.25">
      <c r="A1" s="2" t="s">
        <v>1029</v>
      </c>
      <c r="B1" s="2" t="s">
        <v>1030</v>
      </c>
      <c r="C1" s="3" t="s">
        <v>1031</v>
      </c>
      <c r="D1" s="14" t="s">
        <v>1000</v>
      </c>
      <c r="E1" s="14" t="s">
        <v>1</v>
      </c>
      <c r="F1" s="14" t="s">
        <v>0</v>
      </c>
      <c r="G1" s="14" t="s">
        <v>3</v>
      </c>
      <c r="H1" s="14" t="s">
        <v>1001</v>
      </c>
      <c r="I1" s="23" t="s">
        <v>2</v>
      </c>
      <c r="J1" s="2" t="s">
        <v>1029</v>
      </c>
      <c r="K1" s="2" t="s">
        <v>1030</v>
      </c>
      <c r="L1" s="4" t="s">
        <v>1032</v>
      </c>
      <c r="M1" s="18" t="s">
        <v>1000</v>
      </c>
      <c r="N1" s="18" t="s">
        <v>1</v>
      </c>
      <c r="O1" s="18" t="s">
        <v>0</v>
      </c>
      <c r="P1" s="18" t="s">
        <v>3</v>
      </c>
      <c r="Q1" s="29" t="s">
        <v>1001</v>
      </c>
      <c r="R1" s="30" t="s">
        <v>2</v>
      </c>
      <c r="S1" s="2" t="s">
        <v>1029</v>
      </c>
      <c r="T1" s="2" t="s">
        <v>1030</v>
      </c>
      <c r="U1" s="5" t="s">
        <v>1033</v>
      </c>
      <c r="V1" s="19" t="s">
        <v>1000</v>
      </c>
      <c r="W1" s="19" t="s">
        <v>1</v>
      </c>
      <c r="X1" s="19" t="s">
        <v>0</v>
      </c>
      <c r="Y1" s="19" t="s">
        <v>3</v>
      </c>
      <c r="Z1" s="32" t="s">
        <v>1001</v>
      </c>
      <c r="AA1" s="38" t="s">
        <v>2</v>
      </c>
      <c r="AG1" s="62" t="s">
        <v>1046</v>
      </c>
      <c r="AH1" s="58" t="s">
        <v>1047</v>
      </c>
      <c r="AI1" s="66" t="s">
        <v>1048</v>
      </c>
    </row>
    <row r="2" spans="1:35" s="11" customFormat="1" ht="27" customHeight="1" x14ac:dyDescent="0.2">
      <c r="A2" s="7" t="s">
        <v>4</v>
      </c>
      <c r="B2" s="7" t="s">
        <v>190</v>
      </c>
      <c r="C2" s="8" t="s">
        <v>1002</v>
      </c>
      <c r="D2" s="15"/>
      <c r="E2" s="10"/>
      <c r="F2" s="10"/>
      <c r="G2" s="10">
        <v>2</v>
      </c>
      <c r="H2" s="10"/>
      <c r="I2" s="26">
        <f>SUM(D2:G2)+(H2/2)</f>
        <v>2</v>
      </c>
      <c r="J2" s="7" t="s">
        <v>4</v>
      </c>
      <c r="K2" s="7" t="s">
        <v>190</v>
      </c>
      <c r="L2" s="7" t="s">
        <v>376</v>
      </c>
      <c r="M2" s="15">
        <v>2</v>
      </c>
      <c r="N2" s="10"/>
      <c r="O2" s="10"/>
      <c r="P2" s="10"/>
      <c r="Q2" s="25"/>
      <c r="R2" s="31">
        <f>SUM(M2:P2)+(Q2/2)</f>
        <v>2</v>
      </c>
      <c r="S2" s="7" t="s">
        <v>4</v>
      </c>
      <c r="T2" s="7" t="s">
        <v>190</v>
      </c>
      <c r="U2" s="7" t="s">
        <v>429</v>
      </c>
      <c r="V2" s="15"/>
      <c r="W2" s="10"/>
      <c r="X2" s="10"/>
      <c r="Y2" s="10">
        <v>1</v>
      </c>
      <c r="Z2" s="25"/>
      <c r="AA2" s="39">
        <f>SUM(V2:Y2)+(Z2/2)</f>
        <v>1</v>
      </c>
      <c r="AG2" s="63">
        <f>SUM(E2:G2)</f>
        <v>2</v>
      </c>
      <c r="AH2" s="59">
        <f>SUM(N2:P2)</f>
        <v>0</v>
      </c>
      <c r="AI2" s="69">
        <f>SUM(W2:Y2)</f>
        <v>1</v>
      </c>
    </row>
    <row r="3" spans="1:35" s="11" customFormat="1" ht="27" customHeight="1" x14ac:dyDescent="0.2">
      <c r="A3" s="7" t="s">
        <v>5</v>
      </c>
      <c r="B3" s="7" t="s">
        <v>191</v>
      </c>
      <c r="C3" s="8" t="s">
        <v>615</v>
      </c>
      <c r="D3" s="15"/>
      <c r="E3" s="10"/>
      <c r="F3" s="10"/>
      <c r="G3" s="10"/>
      <c r="H3" s="10">
        <v>1</v>
      </c>
      <c r="I3" s="26">
        <f t="shared" ref="I3:I66" si="0">SUM(D3:G3)+(H3/2)</f>
        <v>0.5</v>
      </c>
      <c r="J3" s="7" t="s">
        <v>5</v>
      </c>
      <c r="K3" s="7" t="s">
        <v>191</v>
      </c>
      <c r="L3" s="7" t="s">
        <v>850</v>
      </c>
      <c r="M3" s="15"/>
      <c r="N3" s="10"/>
      <c r="O3" s="10"/>
      <c r="P3" s="10"/>
      <c r="Q3" s="25"/>
      <c r="R3" s="31">
        <f t="shared" ref="R3:R66" si="1">SUM(M3:P3)+(Q3/2)</f>
        <v>0</v>
      </c>
      <c r="S3" s="7" t="s">
        <v>5</v>
      </c>
      <c r="T3" s="7" t="s">
        <v>191</v>
      </c>
      <c r="U3" s="7" t="s">
        <v>430</v>
      </c>
      <c r="V3" s="15"/>
      <c r="W3" s="10"/>
      <c r="X3" s="10"/>
      <c r="Y3" s="10">
        <v>1</v>
      </c>
      <c r="Z3" s="25"/>
      <c r="AA3" s="39">
        <f t="shared" ref="AA3:AA66" si="2">SUM(V3:Y3)+(Z3/2)</f>
        <v>1</v>
      </c>
      <c r="AG3" s="63">
        <f t="shared" ref="AG3:AG66" si="3">SUM(E3:G3)</f>
        <v>0</v>
      </c>
      <c r="AH3" s="59">
        <f t="shared" ref="AH3:AH66" si="4">SUM(N3:P3)</f>
        <v>0</v>
      </c>
      <c r="AI3" s="69">
        <f t="shared" ref="AI3:AI66" si="5">SUM(W3:Y3)</f>
        <v>1</v>
      </c>
    </row>
    <row r="4" spans="1:35" s="11" customFormat="1" ht="27" customHeight="1" x14ac:dyDescent="0.2">
      <c r="A4" s="7" t="s">
        <v>6</v>
      </c>
      <c r="B4" s="7" t="s">
        <v>192</v>
      </c>
      <c r="C4" s="8" t="s">
        <v>616</v>
      </c>
      <c r="D4" s="15"/>
      <c r="E4" s="10"/>
      <c r="F4" s="10"/>
      <c r="G4" s="10">
        <v>2</v>
      </c>
      <c r="H4" s="10"/>
      <c r="I4" s="26">
        <f t="shared" si="0"/>
        <v>2</v>
      </c>
      <c r="J4" s="7" t="s">
        <v>6</v>
      </c>
      <c r="K4" s="7" t="s">
        <v>192</v>
      </c>
      <c r="L4" s="7" t="s">
        <v>851</v>
      </c>
      <c r="M4" s="15">
        <v>1</v>
      </c>
      <c r="N4" s="10"/>
      <c r="O4" s="10"/>
      <c r="P4" s="10"/>
      <c r="Q4" s="25"/>
      <c r="R4" s="31">
        <f t="shared" si="1"/>
        <v>1</v>
      </c>
      <c r="S4" s="7" t="s">
        <v>6</v>
      </c>
      <c r="T4" s="7" t="s">
        <v>192</v>
      </c>
      <c r="U4" s="7" t="s">
        <v>431</v>
      </c>
      <c r="V4" s="15"/>
      <c r="W4" s="10"/>
      <c r="X4" s="10">
        <v>2</v>
      </c>
      <c r="Y4" s="10"/>
      <c r="Z4" s="25"/>
      <c r="AA4" s="39">
        <f t="shared" si="2"/>
        <v>2</v>
      </c>
      <c r="AG4" s="63">
        <f t="shared" si="3"/>
        <v>2</v>
      </c>
      <c r="AH4" s="59">
        <f t="shared" si="4"/>
        <v>0</v>
      </c>
      <c r="AI4" s="69">
        <f t="shared" si="5"/>
        <v>2</v>
      </c>
    </row>
    <row r="5" spans="1:35" s="11" customFormat="1" ht="27" customHeight="1" x14ac:dyDescent="0.2">
      <c r="A5" s="7" t="s">
        <v>7</v>
      </c>
      <c r="B5" s="7" t="s">
        <v>193</v>
      </c>
      <c r="C5" s="8" t="s">
        <v>617</v>
      </c>
      <c r="D5" s="15">
        <v>2</v>
      </c>
      <c r="E5" s="10"/>
      <c r="F5" s="10"/>
      <c r="G5" s="10"/>
      <c r="H5" s="10"/>
      <c r="I5" s="26">
        <f t="shared" si="0"/>
        <v>2</v>
      </c>
      <c r="J5" s="7" t="s">
        <v>7</v>
      </c>
      <c r="K5" s="7" t="s">
        <v>193</v>
      </c>
      <c r="L5" s="7" t="s">
        <v>852</v>
      </c>
      <c r="M5" s="15"/>
      <c r="N5" s="10"/>
      <c r="O5" s="10">
        <v>2</v>
      </c>
      <c r="P5" s="10"/>
      <c r="Q5" s="25"/>
      <c r="R5" s="31">
        <f t="shared" si="1"/>
        <v>2</v>
      </c>
      <c r="S5" s="7" t="s">
        <v>7</v>
      </c>
      <c r="T5" s="7" t="s">
        <v>193</v>
      </c>
      <c r="U5" s="7" t="s">
        <v>432</v>
      </c>
      <c r="V5" s="15"/>
      <c r="W5" s="10"/>
      <c r="X5" s="10">
        <v>2</v>
      </c>
      <c r="Y5" s="10"/>
      <c r="Z5" s="25"/>
      <c r="AA5" s="39">
        <f t="shared" si="2"/>
        <v>2</v>
      </c>
      <c r="AG5" s="63">
        <f t="shared" si="3"/>
        <v>0</v>
      </c>
      <c r="AH5" s="59">
        <f t="shared" si="4"/>
        <v>2</v>
      </c>
      <c r="AI5" s="69">
        <f t="shared" si="5"/>
        <v>2</v>
      </c>
    </row>
    <row r="6" spans="1:35" s="11" customFormat="1" ht="27" customHeight="1" x14ac:dyDescent="0.2">
      <c r="A6" s="7" t="s">
        <v>8</v>
      </c>
      <c r="B6" s="7" t="s">
        <v>194</v>
      </c>
      <c r="C6" s="8" t="s">
        <v>1003</v>
      </c>
      <c r="D6" s="15"/>
      <c r="E6" s="10"/>
      <c r="F6" s="10"/>
      <c r="G6" s="10"/>
      <c r="H6" s="10">
        <v>1</v>
      </c>
      <c r="I6" s="26">
        <f t="shared" si="0"/>
        <v>0.5</v>
      </c>
      <c r="J6" s="7" t="s">
        <v>8</v>
      </c>
      <c r="K6" s="7" t="s">
        <v>194</v>
      </c>
      <c r="L6" s="7" t="s">
        <v>377</v>
      </c>
      <c r="M6" s="15"/>
      <c r="N6" s="10"/>
      <c r="O6" s="10"/>
      <c r="P6" s="10"/>
      <c r="Q6" s="25"/>
      <c r="R6" s="31">
        <f t="shared" si="1"/>
        <v>0</v>
      </c>
      <c r="S6" s="7" t="s">
        <v>8</v>
      </c>
      <c r="T6" s="7" t="s">
        <v>194</v>
      </c>
      <c r="U6" s="7" t="s">
        <v>433</v>
      </c>
      <c r="V6" s="15"/>
      <c r="W6" s="10"/>
      <c r="X6" s="10"/>
      <c r="Y6" s="10"/>
      <c r="Z6" s="25"/>
      <c r="AA6" s="39">
        <f t="shared" si="2"/>
        <v>0</v>
      </c>
      <c r="AG6" s="63">
        <f t="shared" si="3"/>
        <v>0</v>
      </c>
      <c r="AH6" s="59">
        <f t="shared" si="4"/>
        <v>0</v>
      </c>
      <c r="AI6" s="69">
        <f t="shared" si="5"/>
        <v>0</v>
      </c>
    </row>
    <row r="7" spans="1:35" s="11" customFormat="1" ht="27" customHeight="1" x14ac:dyDescent="0.2">
      <c r="A7" s="7" t="s">
        <v>9</v>
      </c>
      <c r="B7" s="7" t="s">
        <v>195</v>
      </c>
      <c r="C7" s="8" t="s">
        <v>618</v>
      </c>
      <c r="D7" s="15"/>
      <c r="E7" s="10"/>
      <c r="F7" s="10"/>
      <c r="G7" s="10"/>
      <c r="H7" s="10">
        <v>1</v>
      </c>
      <c r="I7" s="26">
        <f t="shared" si="0"/>
        <v>0.5</v>
      </c>
      <c r="J7" s="7" t="s">
        <v>9</v>
      </c>
      <c r="K7" s="7" t="s">
        <v>195</v>
      </c>
      <c r="L7" s="7" t="s">
        <v>853</v>
      </c>
      <c r="M7" s="15"/>
      <c r="N7" s="10"/>
      <c r="O7" s="10">
        <v>2</v>
      </c>
      <c r="P7" s="10"/>
      <c r="Q7" s="25"/>
      <c r="R7" s="31">
        <f t="shared" si="1"/>
        <v>2</v>
      </c>
      <c r="S7" s="7" t="s">
        <v>9</v>
      </c>
      <c r="T7" s="7" t="s">
        <v>195</v>
      </c>
      <c r="U7" s="7" t="s">
        <v>434</v>
      </c>
      <c r="V7" s="15"/>
      <c r="W7" s="10"/>
      <c r="X7" s="10">
        <v>2</v>
      </c>
      <c r="Y7" s="10"/>
      <c r="Z7" s="25"/>
      <c r="AA7" s="39">
        <f t="shared" si="2"/>
        <v>2</v>
      </c>
      <c r="AG7" s="63">
        <f t="shared" si="3"/>
        <v>0</v>
      </c>
      <c r="AH7" s="59">
        <f t="shared" si="4"/>
        <v>2</v>
      </c>
      <c r="AI7" s="69">
        <f t="shared" si="5"/>
        <v>2</v>
      </c>
    </row>
    <row r="8" spans="1:35" s="11" customFormat="1" ht="27" customHeight="1" x14ac:dyDescent="0.2">
      <c r="A8" s="7" t="s">
        <v>10</v>
      </c>
      <c r="B8" s="7" t="s">
        <v>196</v>
      </c>
      <c r="C8" s="8" t="s">
        <v>619</v>
      </c>
      <c r="D8" s="15">
        <v>2</v>
      </c>
      <c r="E8" s="10"/>
      <c r="F8" s="10"/>
      <c r="G8" s="10"/>
      <c r="H8" s="10"/>
      <c r="I8" s="26">
        <f t="shared" si="0"/>
        <v>2</v>
      </c>
      <c r="J8" s="7" t="s">
        <v>10</v>
      </c>
      <c r="K8" s="7" t="s">
        <v>196</v>
      </c>
      <c r="L8" s="7" t="s">
        <v>378</v>
      </c>
      <c r="M8" s="15"/>
      <c r="N8" s="10"/>
      <c r="O8" s="10"/>
      <c r="P8" s="10"/>
      <c r="Q8" s="25">
        <v>1</v>
      </c>
      <c r="R8" s="31">
        <f t="shared" si="1"/>
        <v>0.5</v>
      </c>
      <c r="S8" s="7" t="s">
        <v>10</v>
      </c>
      <c r="T8" s="7" t="s">
        <v>196</v>
      </c>
      <c r="U8" s="7" t="s">
        <v>435</v>
      </c>
      <c r="V8" s="15"/>
      <c r="W8" s="10"/>
      <c r="X8" s="10"/>
      <c r="Y8" s="10">
        <v>2</v>
      </c>
      <c r="Z8" s="25"/>
      <c r="AA8" s="39">
        <f t="shared" si="2"/>
        <v>2</v>
      </c>
      <c r="AG8" s="63">
        <f t="shared" si="3"/>
        <v>0</v>
      </c>
      <c r="AH8" s="59">
        <f t="shared" si="4"/>
        <v>0</v>
      </c>
      <c r="AI8" s="69">
        <f t="shared" si="5"/>
        <v>2</v>
      </c>
    </row>
    <row r="9" spans="1:35" s="11" customFormat="1" ht="27" customHeight="1" x14ac:dyDescent="0.2">
      <c r="A9" s="7" t="s">
        <v>11</v>
      </c>
      <c r="B9" s="7" t="s">
        <v>197</v>
      </c>
      <c r="C9" s="8" t="s">
        <v>620</v>
      </c>
      <c r="D9" s="15"/>
      <c r="E9" s="10"/>
      <c r="F9" s="10"/>
      <c r="G9" s="10"/>
      <c r="H9" s="10"/>
      <c r="I9" s="26">
        <f t="shared" si="0"/>
        <v>0</v>
      </c>
      <c r="J9" s="7" t="s">
        <v>11</v>
      </c>
      <c r="K9" s="7" t="s">
        <v>197</v>
      </c>
      <c r="L9" s="7" t="s">
        <v>854</v>
      </c>
      <c r="M9" s="15"/>
      <c r="N9" s="10"/>
      <c r="O9" s="10"/>
      <c r="P9" s="10">
        <v>2</v>
      </c>
      <c r="Q9" s="25"/>
      <c r="R9" s="31">
        <f t="shared" si="1"/>
        <v>2</v>
      </c>
      <c r="S9" s="7" t="s">
        <v>11</v>
      </c>
      <c r="T9" s="7" t="s">
        <v>197</v>
      </c>
      <c r="U9" s="7" t="s">
        <v>436</v>
      </c>
      <c r="V9" s="15"/>
      <c r="W9" s="10"/>
      <c r="X9" s="10">
        <v>2</v>
      </c>
      <c r="Y9" s="10"/>
      <c r="Z9" s="25"/>
      <c r="AA9" s="39">
        <f t="shared" si="2"/>
        <v>2</v>
      </c>
      <c r="AG9" s="63">
        <f t="shared" si="3"/>
        <v>0</v>
      </c>
      <c r="AH9" s="59">
        <f t="shared" si="4"/>
        <v>2</v>
      </c>
      <c r="AI9" s="69">
        <f t="shared" si="5"/>
        <v>2</v>
      </c>
    </row>
    <row r="10" spans="1:35" s="11" customFormat="1" ht="27" customHeight="1" x14ac:dyDescent="0.2">
      <c r="A10" s="7" t="s">
        <v>12</v>
      </c>
      <c r="B10" s="7" t="s">
        <v>198</v>
      </c>
      <c r="C10" s="8" t="s">
        <v>621</v>
      </c>
      <c r="D10" s="15"/>
      <c r="E10" s="10"/>
      <c r="F10" s="10"/>
      <c r="G10" s="10">
        <v>2</v>
      </c>
      <c r="H10" s="10"/>
      <c r="I10" s="26">
        <f t="shared" si="0"/>
        <v>2</v>
      </c>
      <c r="J10" s="7" t="s">
        <v>12</v>
      </c>
      <c r="K10" s="7" t="s">
        <v>198</v>
      </c>
      <c r="L10" s="7" t="s">
        <v>855</v>
      </c>
      <c r="M10" s="15"/>
      <c r="N10" s="10"/>
      <c r="O10" s="10"/>
      <c r="P10" s="10"/>
      <c r="Q10" s="25">
        <v>1</v>
      </c>
      <c r="R10" s="31">
        <f t="shared" si="1"/>
        <v>0.5</v>
      </c>
      <c r="S10" s="7" t="s">
        <v>12</v>
      </c>
      <c r="T10" s="7" t="s">
        <v>198</v>
      </c>
      <c r="U10" s="7" t="s">
        <v>437</v>
      </c>
      <c r="V10" s="15"/>
      <c r="W10" s="10"/>
      <c r="X10" s="10">
        <v>2</v>
      </c>
      <c r="Y10" s="10"/>
      <c r="Z10" s="25"/>
      <c r="AA10" s="39">
        <f t="shared" si="2"/>
        <v>2</v>
      </c>
      <c r="AG10" s="63">
        <f t="shared" si="3"/>
        <v>2</v>
      </c>
      <c r="AH10" s="59">
        <f t="shared" si="4"/>
        <v>0</v>
      </c>
      <c r="AI10" s="69">
        <f t="shared" si="5"/>
        <v>2</v>
      </c>
    </row>
    <row r="11" spans="1:35" s="11" customFormat="1" ht="27" customHeight="1" x14ac:dyDescent="0.2">
      <c r="A11" s="7" t="s">
        <v>13</v>
      </c>
      <c r="B11" s="7" t="s">
        <v>199</v>
      </c>
      <c r="C11" s="8" t="s">
        <v>622</v>
      </c>
      <c r="D11" s="15"/>
      <c r="E11" s="10"/>
      <c r="F11" s="10"/>
      <c r="G11" s="10"/>
      <c r="H11" s="10"/>
      <c r="I11" s="26">
        <f t="shared" si="0"/>
        <v>0</v>
      </c>
      <c r="J11" s="7" t="s">
        <v>13</v>
      </c>
      <c r="K11" s="7" t="s">
        <v>199</v>
      </c>
      <c r="L11" s="7" t="s">
        <v>199</v>
      </c>
      <c r="M11" s="15"/>
      <c r="N11" s="10"/>
      <c r="O11" s="10"/>
      <c r="P11" s="10"/>
      <c r="Q11" s="25"/>
      <c r="R11" s="31">
        <f t="shared" si="1"/>
        <v>0</v>
      </c>
      <c r="S11" s="7" t="s">
        <v>13</v>
      </c>
      <c r="T11" s="7" t="s">
        <v>199</v>
      </c>
      <c r="U11" s="7" t="s">
        <v>438</v>
      </c>
      <c r="V11" s="15"/>
      <c r="W11" s="10"/>
      <c r="X11" s="10">
        <v>2</v>
      </c>
      <c r="Y11" s="10"/>
      <c r="Z11" s="25"/>
      <c r="AA11" s="39">
        <f t="shared" si="2"/>
        <v>2</v>
      </c>
      <c r="AG11" s="63">
        <f t="shared" si="3"/>
        <v>0</v>
      </c>
      <c r="AH11" s="59">
        <f t="shared" si="4"/>
        <v>0</v>
      </c>
      <c r="AI11" s="69">
        <f t="shared" si="5"/>
        <v>2</v>
      </c>
    </row>
    <row r="12" spans="1:35" s="11" customFormat="1" ht="27" customHeight="1" x14ac:dyDescent="0.2">
      <c r="A12" s="7" t="s">
        <v>14</v>
      </c>
      <c r="B12" s="7" t="s">
        <v>200</v>
      </c>
      <c r="C12" s="8" t="s">
        <v>623</v>
      </c>
      <c r="D12" s="15"/>
      <c r="E12" s="10"/>
      <c r="F12" s="10"/>
      <c r="G12" s="10"/>
      <c r="H12" s="10"/>
      <c r="I12" s="26">
        <f t="shared" si="0"/>
        <v>0</v>
      </c>
      <c r="J12" s="7" t="s">
        <v>14</v>
      </c>
      <c r="K12" s="7" t="s">
        <v>200</v>
      </c>
      <c r="L12" s="7" t="s">
        <v>856</v>
      </c>
      <c r="M12" s="15"/>
      <c r="N12" s="10"/>
      <c r="O12" s="10"/>
      <c r="P12" s="10"/>
      <c r="Q12" s="25">
        <v>2</v>
      </c>
      <c r="R12" s="31">
        <f t="shared" si="1"/>
        <v>1</v>
      </c>
      <c r="S12" s="7" t="s">
        <v>14</v>
      </c>
      <c r="T12" s="7" t="s">
        <v>200</v>
      </c>
      <c r="U12" s="7" t="s">
        <v>439</v>
      </c>
      <c r="V12" s="15"/>
      <c r="W12" s="10"/>
      <c r="X12" s="10">
        <v>2</v>
      </c>
      <c r="Y12" s="10"/>
      <c r="Z12" s="25"/>
      <c r="AA12" s="39">
        <f t="shared" si="2"/>
        <v>2</v>
      </c>
      <c r="AG12" s="63">
        <f t="shared" si="3"/>
        <v>0</v>
      </c>
      <c r="AH12" s="59">
        <f t="shared" si="4"/>
        <v>0</v>
      </c>
      <c r="AI12" s="69">
        <f t="shared" si="5"/>
        <v>2</v>
      </c>
    </row>
    <row r="13" spans="1:35" s="11" customFormat="1" ht="27" customHeight="1" x14ac:dyDescent="0.2">
      <c r="A13" s="7" t="s">
        <v>15</v>
      </c>
      <c r="B13" s="7" t="s">
        <v>201</v>
      </c>
      <c r="C13" s="8" t="s">
        <v>624</v>
      </c>
      <c r="D13" s="15"/>
      <c r="E13" s="10"/>
      <c r="F13" s="10">
        <v>2</v>
      </c>
      <c r="G13" s="10"/>
      <c r="H13" s="10"/>
      <c r="I13" s="26">
        <f t="shared" si="0"/>
        <v>2</v>
      </c>
      <c r="J13" s="7" t="s">
        <v>15</v>
      </c>
      <c r="K13" s="7" t="s">
        <v>201</v>
      </c>
      <c r="L13" s="7" t="s">
        <v>857</v>
      </c>
      <c r="M13" s="15">
        <v>1</v>
      </c>
      <c r="N13" s="10"/>
      <c r="O13" s="10"/>
      <c r="P13" s="10"/>
      <c r="Q13" s="25"/>
      <c r="R13" s="31">
        <f t="shared" si="1"/>
        <v>1</v>
      </c>
      <c r="S13" s="7" t="s">
        <v>15</v>
      </c>
      <c r="T13" s="7" t="s">
        <v>201</v>
      </c>
      <c r="U13" s="7" t="s">
        <v>440</v>
      </c>
      <c r="V13" s="15"/>
      <c r="W13" s="10"/>
      <c r="X13" s="10">
        <v>2</v>
      </c>
      <c r="Y13" s="10"/>
      <c r="Z13" s="25"/>
      <c r="AA13" s="39">
        <f t="shared" si="2"/>
        <v>2</v>
      </c>
      <c r="AG13" s="63">
        <f t="shared" si="3"/>
        <v>2</v>
      </c>
      <c r="AH13" s="59">
        <f t="shared" si="4"/>
        <v>0</v>
      </c>
      <c r="AI13" s="69">
        <f t="shared" si="5"/>
        <v>2</v>
      </c>
    </row>
    <row r="14" spans="1:35" s="12" customFormat="1" ht="27" customHeight="1" x14ac:dyDescent="0.2">
      <c r="A14" s="7" t="s">
        <v>780</v>
      </c>
      <c r="B14" s="7" t="s">
        <v>781</v>
      </c>
      <c r="C14" s="9" t="s">
        <v>818</v>
      </c>
      <c r="D14" s="16"/>
      <c r="E14" s="10"/>
      <c r="F14" s="10"/>
      <c r="G14" s="10">
        <v>2</v>
      </c>
      <c r="H14" s="10"/>
      <c r="I14" s="26">
        <f t="shared" si="0"/>
        <v>2</v>
      </c>
      <c r="J14" s="7" t="s">
        <v>780</v>
      </c>
      <c r="K14" s="7" t="s">
        <v>781</v>
      </c>
      <c r="L14" s="7" t="s">
        <v>858</v>
      </c>
      <c r="M14" s="16"/>
      <c r="N14" s="10"/>
      <c r="O14" s="10"/>
      <c r="P14" s="10">
        <v>2</v>
      </c>
      <c r="Q14" s="25"/>
      <c r="R14" s="31">
        <f t="shared" si="1"/>
        <v>2</v>
      </c>
      <c r="S14" s="7" t="s">
        <v>780</v>
      </c>
      <c r="T14" s="7" t="s">
        <v>781</v>
      </c>
      <c r="U14" s="7" t="s">
        <v>831</v>
      </c>
      <c r="V14" s="16"/>
      <c r="W14" s="10"/>
      <c r="X14" s="10"/>
      <c r="Y14" s="10">
        <v>2</v>
      </c>
      <c r="Z14" s="25"/>
      <c r="AA14" s="39">
        <f t="shared" si="2"/>
        <v>2</v>
      </c>
      <c r="AG14" s="63">
        <f t="shared" si="3"/>
        <v>2</v>
      </c>
      <c r="AH14" s="59">
        <f t="shared" si="4"/>
        <v>2</v>
      </c>
      <c r="AI14" s="69">
        <f t="shared" si="5"/>
        <v>2</v>
      </c>
    </row>
    <row r="15" spans="1:35" s="11" customFormat="1" ht="27" customHeight="1" x14ac:dyDescent="0.2">
      <c r="A15" s="7" t="s">
        <v>16</v>
      </c>
      <c r="B15" s="7" t="s">
        <v>202</v>
      </c>
      <c r="C15" s="8" t="s">
        <v>1005</v>
      </c>
      <c r="D15" s="15"/>
      <c r="E15" s="10"/>
      <c r="F15" s="10"/>
      <c r="G15" s="10"/>
      <c r="H15" s="10"/>
      <c r="I15" s="26">
        <f t="shared" si="0"/>
        <v>0</v>
      </c>
      <c r="J15" s="7" t="s">
        <v>16</v>
      </c>
      <c r="K15" s="7" t="s">
        <v>202</v>
      </c>
      <c r="L15" s="7" t="s">
        <v>379</v>
      </c>
      <c r="M15" s="15"/>
      <c r="N15" s="10"/>
      <c r="O15" s="10"/>
      <c r="P15" s="10">
        <v>1</v>
      </c>
      <c r="Q15" s="25"/>
      <c r="R15" s="31">
        <f t="shared" si="1"/>
        <v>1</v>
      </c>
      <c r="S15" s="7" t="s">
        <v>16</v>
      </c>
      <c r="T15" s="7" t="s">
        <v>202</v>
      </c>
      <c r="U15" s="7" t="s">
        <v>441</v>
      </c>
      <c r="V15" s="15"/>
      <c r="W15" s="10"/>
      <c r="X15" s="10"/>
      <c r="Y15" s="10"/>
      <c r="Z15" s="25"/>
      <c r="AA15" s="39">
        <f t="shared" si="2"/>
        <v>0</v>
      </c>
      <c r="AG15" s="63">
        <f t="shared" si="3"/>
        <v>0</v>
      </c>
      <c r="AH15" s="59">
        <f t="shared" si="4"/>
        <v>1</v>
      </c>
      <c r="AI15" s="69">
        <f t="shared" si="5"/>
        <v>0</v>
      </c>
    </row>
    <row r="16" spans="1:35" s="11" customFormat="1" ht="27" customHeight="1" x14ac:dyDescent="0.2">
      <c r="A16" s="7" t="s">
        <v>17</v>
      </c>
      <c r="B16" s="7" t="s">
        <v>203</v>
      </c>
      <c r="C16" s="8" t="s">
        <v>1004</v>
      </c>
      <c r="D16" s="15"/>
      <c r="E16" s="10"/>
      <c r="F16" s="10">
        <v>2</v>
      </c>
      <c r="G16" s="10"/>
      <c r="H16" s="10"/>
      <c r="I16" s="26">
        <f t="shared" si="0"/>
        <v>2</v>
      </c>
      <c r="J16" s="7" t="s">
        <v>17</v>
      </c>
      <c r="K16" s="7" t="s">
        <v>203</v>
      </c>
      <c r="L16" s="7" t="s">
        <v>859</v>
      </c>
      <c r="M16" s="15"/>
      <c r="N16" s="10"/>
      <c r="O16" s="10">
        <v>2</v>
      </c>
      <c r="P16" s="10"/>
      <c r="Q16" s="25"/>
      <c r="R16" s="31">
        <f t="shared" si="1"/>
        <v>2</v>
      </c>
      <c r="S16" s="7" t="s">
        <v>17</v>
      </c>
      <c r="T16" s="7" t="s">
        <v>203</v>
      </c>
      <c r="U16" s="7" t="s">
        <v>442</v>
      </c>
      <c r="V16" s="15"/>
      <c r="W16" s="10"/>
      <c r="X16" s="10"/>
      <c r="Y16" s="10"/>
      <c r="Z16" s="25"/>
      <c r="AA16" s="39">
        <f t="shared" si="2"/>
        <v>0</v>
      </c>
      <c r="AG16" s="63">
        <f>SUM(E16:G16)</f>
        <v>2</v>
      </c>
      <c r="AH16" s="59">
        <f t="shared" si="4"/>
        <v>2</v>
      </c>
      <c r="AI16" s="69">
        <f t="shared" si="5"/>
        <v>0</v>
      </c>
    </row>
    <row r="17" spans="1:35" s="12" customFormat="1" ht="27" customHeight="1" x14ac:dyDescent="0.2">
      <c r="A17" s="7" t="s">
        <v>782</v>
      </c>
      <c r="B17" s="7" t="s">
        <v>783</v>
      </c>
      <c r="C17" s="9" t="s">
        <v>819</v>
      </c>
      <c r="D17" s="16"/>
      <c r="E17" s="10"/>
      <c r="F17" s="10"/>
      <c r="G17" s="10"/>
      <c r="H17" s="10">
        <v>1</v>
      </c>
      <c r="I17" s="26">
        <f t="shared" si="0"/>
        <v>0.5</v>
      </c>
      <c r="J17" s="7" t="s">
        <v>782</v>
      </c>
      <c r="K17" s="7" t="s">
        <v>783</v>
      </c>
      <c r="L17" s="7" t="s">
        <v>860</v>
      </c>
      <c r="M17" s="16"/>
      <c r="N17" s="10"/>
      <c r="O17" s="10"/>
      <c r="P17" s="10"/>
      <c r="Q17" s="25"/>
      <c r="R17" s="31">
        <f t="shared" si="1"/>
        <v>0</v>
      </c>
      <c r="S17" s="7" t="s">
        <v>782</v>
      </c>
      <c r="T17" s="7" t="s">
        <v>783</v>
      </c>
      <c r="U17" s="7" t="s">
        <v>832</v>
      </c>
      <c r="V17" s="16"/>
      <c r="W17" s="10"/>
      <c r="X17" s="10"/>
      <c r="Y17" s="10">
        <v>1</v>
      </c>
      <c r="Z17" s="25"/>
      <c r="AA17" s="39">
        <f t="shared" si="2"/>
        <v>1</v>
      </c>
      <c r="AG17" s="63">
        <f t="shared" si="3"/>
        <v>0</v>
      </c>
      <c r="AH17" s="59">
        <f t="shared" si="4"/>
        <v>0</v>
      </c>
      <c r="AI17" s="69">
        <f t="shared" si="5"/>
        <v>1</v>
      </c>
    </row>
    <row r="18" spans="1:35" s="11" customFormat="1" ht="27" customHeight="1" x14ac:dyDescent="0.2">
      <c r="A18" s="7" t="s">
        <v>18</v>
      </c>
      <c r="B18" s="7" t="s">
        <v>204</v>
      </c>
      <c r="C18" s="8" t="s">
        <v>1006</v>
      </c>
      <c r="D18" s="15"/>
      <c r="E18" s="10"/>
      <c r="F18" s="10">
        <v>2</v>
      </c>
      <c r="G18" s="10"/>
      <c r="H18" s="10"/>
      <c r="I18" s="26">
        <f t="shared" si="0"/>
        <v>2</v>
      </c>
      <c r="J18" s="7" t="s">
        <v>18</v>
      </c>
      <c r="K18" s="7" t="s">
        <v>204</v>
      </c>
      <c r="L18" s="7" t="s">
        <v>861</v>
      </c>
      <c r="M18" s="15"/>
      <c r="N18" s="10"/>
      <c r="O18" s="10"/>
      <c r="P18" s="10">
        <v>2</v>
      </c>
      <c r="Q18" s="25"/>
      <c r="R18" s="31">
        <f t="shared" si="1"/>
        <v>2</v>
      </c>
      <c r="S18" s="7" t="s">
        <v>18</v>
      </c>
      <c r="T18" s="7" t="s">
        <v>204</v>
      </c>
      <c r="U18" s="7" t="s">
        <v>443</v>
      </c>
      <c r="V18" s="15"/>
      <c r="W18" s="10"/>
      <c r="X18" s="10"/>
      <c r="Y18" s="10">
        <v>2</v>
      </c>
      <c r="Z18" s="25"/>
      <c r="AA18" s="39">
        <f t="shared" si="2"/>
        <v>2</v>
      </c>
      <c r="AG18" s="63">
        <f t="shared" si="3"/>
        <v>2</v>
      </c>
      <c r="AH18" s="59">
        <f t="shared" si="4"/>
        <v>2</v>
      </c>
      <c r="AI18" s="69">
        <f t="shared" si="5"/>
        <v>2</v>
      </c>
    </row>
    <row r="19" spans="1:35" s="11" customFormat="1" ht="27" customHeight="1" x14ac:dyDescent="0.2">
      <c r="A19" s="7" t="s">
        <v>19</v>
      </c>
      <c r="B19" s="7" t="s">
        <v>205</v>
      </c>
      <c r="C19" s="8" t="s">
        <v>625</v>
      </c>
      <c r="D19" s="15"/>
      <c r="E19" s="10"/>
      <c r="F19" s="10"/>
      <c r="G19" s="10"/>
      <c r="H19" s="10"/>
      <c r="I19" s="26">
        <f t="shared" si="0"/>
        <v>0</v>
      </c>
      <c r="J19" s="7" t="s">
        <v>19</v>
      </c>
      <c r="K19" s="7" t="s">
        <v>205</v>
      </c>
      <c r="L19" s="7" t="s">
        <v>862</v>
      </c>
      <c r="M19" s="15"/>
      <c r="N19" s="10"/>
      <c r="O19" s="10"/>
      <c r="P19" s="10">
        <v>2</v>
      </c>
      <c r="Q19" s="25"/>
      <c r="R19" s="31">
        <f t="shared" si="1"/>
        <v>2</v>
      </c>
      <c r="S19" s="7" t="s">
        <v>19</v>
      </c>
      <c r="T19" s="7" t="s">
        <v>205</v>
      </c>
      <c r="U19" s="7" t="s">
        <v>444</v>
      </c>
      <c r="V19" s="15">
        <v>2</v>
      </c>
      <c r="W19" s="10"/>
      <c r="X19" s="10"/>
      <c r="Y19" s="10"/>
      <c r="Z19" s="25"/>
      <c r="AA19" s="39">
        <f t="shared" si="2"/>
        <v>2</v>
      </c>
      <c r="AG19" s="63">
        <f t="shared" si="3"/>
        <v>0</v>
      </c>
      <c r="AH19" s="59">
        <f t="shared" si="4"/>
        <v>2</v>
      </c>
      <c r="AI19" s="69">
        <f t="shared" si="5"/>
        <v>0</v>
      </c>
    </row>
    <row r="20" spans="1:35" s="11" customFormat="1" ht="27" customHeight="1" x14ac:dyDescent="0.2">
      <c r="A20" s="7" t="s">
        <v>20</v>
      </c>
      <c r="B20" s="7" t="s">
        <v>206</v>
      </c>
      <c r="C20" s="9" t="s">
        <v>626</v>
      </c>
      <c r="D20" s="16"/>
      <c r="E20" s="10"/>
      <c r="F20" s="10"/>
      <c r="G20" s="10"/>
      <c r="H20" s="10">
        <v>1</v>
      </c>
      <c r="I20" s="26">
        <f t="shared" si="0"/>
        <v>0.5</v>
      </c>
      <c r="J20" s="7" t="s">
        <v>20</v>
      </c>
      <c r="K20" s="7" t="s">
        <v>206</v>
      </c>
      <c r="L20" s="7" t="s">
        <v>863</v>
      </c>
      <c r="M20" s="16"/>
      <c r="N20" s="10"/>
      <c r="O20" s="10"/>
      <c r="P20" s="10"/>
      <c r="Q20" s="25"/>
      <c r="R20" s="31">
        <f t="shared" si="1"/>
        <v>0</v>
      </c>
      <c r="S20" s="7" t="s">
        <v>20</v>
      </c>
      <c r="T20" s="7" t="s">
        <v>206</v>
      </c>
      <c r="U20" s="7" t="s">
        <v>445</v>
      </c>
      <c r="V20" s="16"/>
      <c r="W20" s="10"/>
      <c r="X20" s="10">
        <v>2</v>
      </c>
      <c r="Y20" s="10"/>
      <c r="Z20" s="25"/>
      <c r="AA20" s="39">
        <f t="shared" si="2"/>
        <v>2</v>
      </c>
      <c r="AG20" s="63">
        <f t="shared" si="3"/>
        <v>0</v>
      </c>
      <c r="AH20" s="59">
        <f t="shared" si="4"/>
        <v>0</v>
      </c>
      <c r="AI20" s="69">
        <f t="shared" si="5"/>
        <v>2</v>
      </c>
    </row>
    <row r="21" spans="1:35" s="11" customFormat="1" ht="27" customHeight="1" x14ac:dyDescent="0.2">
      <c r="A21" s="7" t="s">
        <v>21</v>
      </c>
      <c r="B21" s="7" t="s">
        <v>207</v>
      </c>
      <c r="C21" s="8" t="s">
        <v>627</v>
      </c>
      <c r="D21" s="15"/>
      <c r="E21" s="10"/>
      <c r="F21" s="10"/>
      <c r="G21" s="10"/>
      <c r="H21" s="10"/>
      <c r="I21" s="26">
        <f t="shared" si="0"/>
        <v>0</v>
      </c>
      <c r="J21" s="7" t="s">
        <v>21</v>
      </c>
      <c r="K21" s="7" t="s">
        <v>207</v>
      </c>
      <c r="L21" s="7" t="s">
        <v>864</v>
      </c>
      <c r="M21" s="15"/>
      <c r="N21" s="10"/>
      <c r="O21" s="10"/>
      <c r="P21" s="10"/>
      <c r="Q21" s="25"/>
      <c r="R21" s="31">
        <f t="shared" si="1"/>
        <v>0</v>
      </c>
      <c r="S21" s="7" t="s">
        <v>21</v>
      </c>
      <c r="T21" s="7" t="s">
        <v>207</v>
      </c>
      <c r="U21" s="7" t="s">
        <v>446</v>
      </c>
      <c r="V21" s="15"/>
      <c r="W21" s="10"/>
      <c r="X21" s="10">
        <v>2</v>
      </c>
      <c r="Y21" s="10"/>
      <c r="Z21" s="25"/>
      <c r="AA21" s="39">
        <f t="shared" si="2"/>
        <v>2</v>
      </c>
      <c r="AG21" s="63">
        <f t="shared" si="3"/>
        <v>0</v>
      </c>
      <c r="AH21" s="59">
        <f t="shared" si="4"/>
        <v>0</v>
      </c>
      <c r="AI21" s="69">
        <f t="shared" si="5"/>
        <v>2</v>
      </c>
    </row>
    <row r="22" spans="1:35" s="11" customFormat="1" ht="27" customHeight="1" x14ac:dyDescent="0.2">
      <c r="A22" s="7" t="s">
        <v>22</v>
      </c>
      <c r="B22" s="7" t="s">
        <v>208</v>
      </c>
      <c r="C22" s="8" t="s">
        <v>628</v>
      </c>
      <c r="D22" s="15"/>
      <c r="E22" s="10"/>
      <c r="F22" s="10"/>
      <c r="G22" s="10"/>
      <c r="H22" s="10"/>
      <c r="I22" s="26">
        <f t="shared" si="0"/>
        <v>0</v>
      </c>
      <c r="J22" s="7" t="s">
        <v>22</v>
      </c>
      <c r="K22" s="7" t="s">
        <v>208</v>
      </c>
      <c r="L22" s="7" t="s">
        <v>865</v>
      </c>
      <c r="M22" s="15"/>
      <c r="N22" s="10"/>
      <c r="O22" s="10"/>
      <c r="P22" s="10">
        <v>2</v>
      </c>
      <c r="Q22" s="25"/>
      <c r="R22" s="31">
        <f t="shared" si="1"/>
        <v>2</v>
      </c>
      <c r="S22" s="7" t="s">
        <v>22</v>
      </c>
      <c r="T22" s="7" t="s">
        <v>208</v>
      </c>
      <c r="U22" s="7" t="s">
        <v>447</v>
      </c>
      <c r="V22" s="15"/>
      <c r="W22" s="10"/>
      <c r="X22" s="10">
        <v>2</v>
      </c>
      <c r="Y22" s="10"/>
      <c r="Z22" s="25"/>
      <c r="AA22" s="39">
        <f t="shared" si="2"/>
        <v>2</v>
      </c>
      <c r="AG22" s="63">
        <f t="shared" si="3"/>
        <v>0</v>
      </c>
      <c r="AH22" s="59">
        <f t="shared" si="4"/>
        <v>2</v>
      </c>
      <c r="AI22" s="69">
        <f t="shared" si="5"/>
        <v>2</v>
      </c>
    </row>
    <row r="23" spans="1:35" s="11" customFormat="1" ht="27" customHeight="1" x14ac:dyDescent="0.2">
      <c r="A23" s="7" t="s">
        <v>23</v>
      </c>
      <c r="B23" s="7" t="s">
        <v>209</v>
      </c>
      <c r="C23" s="9" t="s">
        <v>629</v>
      </c>
      <c r="D23" s="16"/>
      <c r="E23" s="10"/>
      <c r="F23" s="10"/>
      <c r="G23" s="10">
        <v>2</v>
      </c>
      <c r="H23" s="10"/>
      <c r="I23" s="26">
        <f t="shared" si="0"/>
        <v>2</v>
      </c>
      <c r="J23" s="7" t="s">
        <v>23</v>
      </c>
      <c r="K23" s="7" t="s">
        <v>209</v>
      </c>
      <c r="L23" s="7" t="s">
        <v>866</v>
      </c>
      <c r="M23" s="16"/>
      <c r="N23" s="10"/>
      <c r="O23" s="10"/>
      <c r="P23" s="10">
        <v>2</v>
      </c>
      <c r="Q23" s="25"/>
      <c r="R23" s="31">
        <f t="shared" si="1"/>
        <v>2</v>
      </c>
      <c r="S23" s="7" t="s">
        <v>23</v>
      </c>
      <c r="T23" s="7" t="s">
        <v>209</v>
      </c>
      <c r="U23" s="7" t="s">
        <v>448</v>
      </c>
      <c r="V23" s="16"/>
      <c r="W23" s="10"/>
      <c r="X23" s="10">
        <v>2</v>
      </c>
      <c r="Y23" s="10"/>
      <c r="Z23" s="25"/>
      <c r="AA23" s="39">
        <f t="shared" si="2"/>
        <v>2</v>
      </c>
      <c r="AG23" s="63">
        <f t="shared" si="3"/>
        <v>2</v>
      </c>
      <c r="AH23" s="59">
        <f t="shared" si="4"/>
        <v>2</v>
      </c>
      <c r="AI23" s="69">
        <f t="shared" si="5"/>
        <v>2</v>
      </c>
    </row>
    <row r="24" spans="1:35" s="11" customFormat="1" ht="27" customHeight="1" x14ac:dyDescent="0.2">
      <c r="A24" s="7" t="s">
        <v>24</v>
      </c>
      <c r="B24" s="7" t="s">
        <v>210</v>
      </c>
      <c r="C24" s="8" t="s">
        <v>630</v>
      </c>
      <c r="D24" s="15"/>
      <c r="E24" s="10"/>
      <c r="F24" s="10"/>
      <c r="G24" s="10"/>
      <c r="H24" s="10">
        <v>1</v>
      </c>
      <c r="I24" s="26">
        <f t="shared" si="0"/>
        <v>0.5</v>
      </c>
      <c r="J24" s="7" t="s">
        <v>24</v>
      </c>
      <c r="K24" s="7" t="s">
        <v>210</v>
      </c>
      <c r="L24" s="7" t="s">
        <v>867</v>
      </c>
      <c r="M24" s="15"/>
      <c r="N24" s="10"/>
      <c r="O24" s="10"/>
      <c r="P24" s="10">
        <v>1</v>
      </c>
      <c r="Q24" s="25"/>
      <c r="R24" s="31">
        <f t="shared" si="1"/>
        <v>1</v>
      </c>
      <c r="S24" s="7" t="s">
        <v>24</v>
      </c>
      <c r="T24" s="7" t="s">
        <v>210</v>
      </c>
      <c r="U24" s="7" t="s">
        <v>449</v>
      </c>
      <c r="V24" s="15"/>
      <c r="W24" s="10"/>
      <c r="X24" s="10"/>
      <c r="Y24" s="10"/>
      <c r="Z24" s="25"/>
      <c r="AA24" s="39">
        <f t="shared" si="2"/>
        <v>0</v>
      </c>
      <c r="AG24" s="63">
        <f t="shared" si="3"/>
        <v>0</v>
      </c>
      <c r="AH24" s="59">
        <f t="shared" si="4"/>
        <v>1</v>
      </c>
      <c r="AI24" s="69">
        <f t="shared" si="5"/>
        <v>0</v>
      </c>
    </row>
    <row r="25" spans="1:35" s="11" customFormat="1" ht="27" customHeight="1" x14ac:dyDescent="0.2">
      <c r="A25" s="7" t="s">
        <v>25</v>
      </c>
      <c r="B25" s="7" t="s">
        <v>211</v>
      </c>
      <c r="C25" s="8" t="s">
        <v>631</v>
      </c>
      <c r="D25" s="15"/>
      <c r="E25" s="10"/>
      <c r="F25" s="10"/>
      <c r="G25" s="10"/>
      <c r="H25" s="10">
        <v>1</v>
      </c>
      <c r="I25" s="26">
        <f t="shared" si="0"/>
        <v>0.5</v>
      </c>
      <c r="J25" s="7" t="s">
        <v>25</v>
      </c>
      <c r="K25" s="7" t="s">
        <v>211</v>
      </c>
      <c r="L25" s="7" t="s">
        <v>868</v>
      </c>
      <c r="M25" s="15"/>
      <c r="N25" s="10"/>
      <c r="O25" s="10">
        <v>2</v>
      </c>
      <c r="P25" s="10"/>
      <c r="Q25" s="25"/>
      <c r="R25" s="31">
        <f t="shared" si="1"/>
        <v>2</v>
      </c>
      <c r="S25" s="7" t="s">
        <v>25</v>
      </c>
      <c r="T25" s="7" t="s">
        <v>211</v>
      </c>
      <c r="U25" s="7" t="s">
        <v>450</v>
      </c>
      <c r="V25" s="15"/>
      <c r="W25" s="10"/>
      <c r="X25" s="10">
        <v>2</v>
      </c>
      <c r="Y25" s="10"/>
      <c r="Z25" s="25"/>
      <c r="AA25" s="39">
        <f t="shared" si="2"/>
        <v>2</v>
      </c>
      <c r="AG25" s="63">
        <f t="shared" si="3"/>
        <v>0</v>
      </c>
      <c r="AH25" s="59">
        <f t="shared" si="4"/>
        <v>2</v>
      </c>
      <c r="AI25" s="69">
        <f t="shared" si="5"/>
        <v>2</v>
      </c>
    </row>
    <row r="26" spans="1:35" s="11" customFormat="1" ht="27" customHeight="1" x14ac:dyDescent="0.2">
      <c r="A26" s="7" t="s">
        <v>26</v>
      </c>
      <c r="B26" s="7" t="s">
        <v>212</v>
      </c>
      <c r="C26" s="8" t="s">
        <v>632</v>
      </c>
      <c r="D26" s="15"/>
      <c r="E26" s="10"/>
      <c r="F26" s="10"/>
      <c r="G26" s="10"/>
      <c r="H26" s="10"/>
      <c r="I26" s="26">
        <f t="shared" si="0"/>
        <v>0</v>
      </c>
      <c r="J26" s="7" t="s">
        <v>26</v>
      </c>
      <c r="K26" s="7" t="s">
        <v>212</v>
      </c>
      <c r="L26" s="7" t="s">
        <v>869</v>
      </c>
      <c r="M26" s="15"/>
      <c r="N26" s="10"/>
      <c r="O26" s="10"/>
      <c r="P26" s="10"/>
      <c r="Q26" s="25"/>
      <c r="R26" s="31">
        <f t="shared" si="1"/>
        <v>0</v>
      </c>
      <c r="S26" s="7" t="s">
        <v>26</v>
      </c>
      <c r="T26" s="7" t="s">
        <v>212</v>
      </c>
      <c r="U26" s="7" t="s">
        <v>451</v>
      </c>
      <c r="V26" s="15">
        <v>2</v>
      </c>
      <c r="W26" s="10"/>
      <c r="X26" s="10"/>
      <c r="Y26" s="10"/>
      <c r="Z26" s="25"/>
      <c r="AA26" s="39">
        <f t="shared" si="2"/>
        <v>2</v>
      </c>
      <c r="AG26" s="63">
        <f t="shared" si="3"/>
        <v>0</v>
      </c>
      <c r="AH26" s="59">
        <f t="shared" si="4"/>
        <v>0</v>
      </c>
      <c r="AI26" s="69">
        <f t="shared" si="5"/>
        <v>0</v>
      </c>
    </row>
    <row r="27" spans="1:35" s="11" customFormat="1" ht="27" customHeight="1" x14ac:dyDescent="0.2">
      <c r="A27" s="7" t="s">
        <v>27</v>
      </c>
      <c r="B27" s="7" t="s">
        <v>213</v>
      </c>
      <c r="C27" s="8" t="s">
        <v>633</v>
      </c>
      <c r="D27" s="15"/>
      <c r="E27" s="10"/>
      <c r="F27" s="10"/>
      <c r="G27" s="10"/>
      <c r="H27" s="10">
        <v>1</v>
      </c>
      <c r="I27" s="26">
        <f t="shared" si="0"/>
        <v>0.5</v>
      </c>
      <c r="J27" s="7" t="s">
        <v>27</v>
      </c>
      <c r="K27" s="7" t="s">
        <v>213</v>
      </c>
      <c r="L27" s="7" t="s">
        <v>870</v>
      </c>
      <c r="M27" s="15"/>
      <c r="N27" s="10"/>
      <c r="O27" s="10">
        <v>2</v>
      </c>
      <c r="P27" s="10"/>
      <c r="Q27" s="25"/>
      <c r="R27" s="31">
        <f t="shared" si="1"/>
        <v>2</v>
      </c>
      <c r="S27" s="7" t="s">
        <v>27</v>
      </c>
      <c r="T27" s="7" t="s">
        <v>213</v>
      </c>
      <c r="U27" s="7" t="s">
        <v>452</v>
      </c>
      <c r="V27" s="15"/>
      <c r="W27" s="10"/>
      <c r="X27" s="10">
        <v>2</v>
      </c>
      <c r="Y27" s="10"/>
      <c r="Z27" s="25"/>
      <c r="AA27" s="39">
        <f t="shared" si="2"/>
        <v>2</v>
      </c>
      <c r="AG27" s="63">
        <f t="shared" si="3"/>
        <v>0</v>
      </c>
      <c r="AH27" s="59">
        <f t="shared" si="4"/>
        <v>2</v>
      </c>
      <c r="AI27" s="69">
        <f t="shared" si="5"/>
        <v>2</v>
      </c>
    </row>
    <row r="28" spans="1:35" s="11" customFormat="1" ht="27" customHeight="1" x14ac:dyDescent="0.2">
      <c r="A28" s="7" t="s">
        <v>28</v>
      </c>
      <c r="B28" s="7" t="s">
        <v>214</v>
      </c>
      <c r="C28" s="9" t="s">
        <v>634</v>
      </c>
      <c r="D28" s="16"/>
      <c r="E28" s="10"/>
      <c r="F28" s="10"/>
      <c r="G28" s="10"/>
      <c r="H28" s="10">
        <v>1</v>
      </c>
      <c r="I28" s="26">
        <f t="shared" si="0"/>
        <v>0.5</v>
      </c>
      <c r="J28" s="7" t="s">
        <v>28</v>
      </c>
      <c r="K28" s="7" t="s">
        <v>214</v>
      </c>
      <c r="L28" s="7" t="s">
        <v>380</v>
      </c>
      <c r="M28" s="16"/>
      <c r="N28" s="10"/>
      <c r="O28" s="10"/>
      <c r="P28" s="10"/>
      <c r="Q28" s="25"/>
      <c r="R28" s="31">
        <f t="shared" si="1"/>
        <v>0</v>
      </c>
      <c r="S28" s="7" t="s">
        <v>28</v>
      </c>
      <c r="T28" s="7" t="s">
        <v>214</v>
      </c>
      <c r="U28" s="7" t="s">
        <v>453</v>
      </c>
      <c r="V28" s="16"/>
      <c r="W28" s="10"/>
      <c r="X28" s="10"/>
      <c r="Y28" s="10">
        <v>2</v>
      </c>
      <c r="Z28" s="25"/>
      <c r="AA28" s="39">
        <f t="shared" si="2"/>
        <v>2</v>
      </c>
      <c r="AG28" s="63">
        <f t="shared" si="3"/>
        <v>0</v>
      </c>
      <c r="AH28" s="59">
        <f t="shared" si="4"/>
        <v>0</v>
      </c>
      <c r="AI28" s="69">
        <f t="shared" si="5"/>
        <v>2</v>
      </c>
    </row>
    <row r="29" spans="1:35" s="11" customFormat="1" ht="27" customHeight="1" x14ac:dyDescent="0.2">
      <c r="A29" s="7" t="s">
        <v>29</v>
      </c>
      <c r="B29" s="7" t="s">
        <v>215</v>
      </c>
      <c r="C29" s="8" t="s">
        <v>635</v>
      </c>
      <c r="D29" s="15"/>
      <c r="E29" s="10"/>
      <c r="F29" s="10"/>
      <c r="G29" s="10"/>
      <c r="H29" s="10">
        <v>1</v>
      </c>
      <c r="I29" s="26">
        <f t="shared" si="0"/>
        <v>0.5</v>
      </c>
      <c r="J29" s="7" t="s">
        <v>29</v>
      </c>
      <c r="K29" s="7" t="s">
        <v>215</v>
      </c>
      <c r="L29" s="7" t="s">
        <v>871</v>
      </c>
      <c r="M29" s="15"/>
      <c r="N29" s="10"/>
      <c r="O29" s="10"/>
      <c r="P29" s="10"/>
      <c r="Q29" s="25"/>
      <c r="R29" s="31">
        <f t="shared" si="1"/>
        <v>0</v>
      </c>
      <c r="S29" s="7" t="s">
        <v>29</v>
      </c>
      <c r="T29" s="7" t="s">
        <v>215</v>
      </c>
      <c r="U29" s="7" t="s">
        <v>454</v>
      </c>
      <c r="V29" s="15"/>
      <c r="W29" s="10"/>
      <c r="X29" s="10">
        <v>2</v>
      </c>
      <c r="Y29" s="10"/>
      <c r="Z29" s="25"/>
      <c r="AA29" s="39">
        <f t="shared" si="2"/>
        <v>2</v>
      </c>
      <c r="AG29" s="63">
        <f t="shared" si="3"/>
        <v>0</v>
      </c>
      <c r="AH29" s="59">
        <f t="shared" si="4"/>
        <v>0</v>
      </c>
      <c r="AI29" s="69">
        <f t="shared" si="5"/>
        <v>2</v>
      </c>
    </row>
    <row r="30" spans="1:35" s="12" customFormat="1" ht="27" customHeight="1" x14ac:dyDescent="0.2">
      <c r="A30" s="7" t="s">
        <v>784</v>
      </c>
      <c r="B30" s="7" t="s">
        <v>785</v>
      </c>
      <c r="C30" s="8" t="s">
        <v>1007</v>
      </c>
      <c r="D30" s="15">
        <v>2</v>
      </c>
      <c r="E30" s="10"/>
      <c r="F30" s="10"/>
      <c r="G30" s="10"/>
      <c r="H30" s="10"/>
      <c r="I30" s="26">
        <f t="shared" si="0"/>
        <v>2</v>
      </c>
      <c r="J30" s="7" t="s">
        <v>784</v>
      </c>
      <c r="K30" s="7" t="s">
        <v>785</v>
      </c>
      <c r="L30" s="7" t="s">
        <v>872</v>
      </c>
      <c r="M30" s="15">
        <v>2</v>
      </c>
      <c r="N30" s="10"/>
      <c r="O30" s="10"/>
      <c r="P30" s="10"/>
      <c r="Q30" s="25"/>
      <c r="R30" s="31">
        <f t="shared" si="1"/>
        <v>2</v>
      </c>
      <c r="S30" s="7" t="s">
        <v>784</v>
      </c>
      <c r="T30" s="7" t="s">
        <v>785</v>
      </c>
      <c r="U30" s="7" t="s">
        <v>833</v>
      </c>
      <c r="V30" s="15"/>
      <c r="W30" s="10"/>
      <c r="X30" s="10">
        <v>2</v>
      </c>
      <c r="Y30" s="10"/>
      <c r="Z30" s="25"/>
      <c r="AA30" s="39">
        <f t="shared" si="2"/>
        <v>2</v>
      </c>
      <c r="AG30" s="63">
        <f t="shared" si="3"/>
        <v>0</v>
      </c>
      <c r="AH30" s="59">
        <f t="shared" si="4"/>
        <v>0</v>
      </c>
      <c r="AI30" s="69">
        <f t="shared" si="5"/>
        <v>2</v>
      </c>
    </row>
    <row r="31" spans="1:35" s="11" customFormat="1" ht="27" customHeight="1" x14ac:dyDescent="0.2">
      <c r="A31" s="7" t="s">
        <v>30</v>
      </c>
      <c r="B31" s="7" t="s">
        <v>216</v>
      </c>
      <c r="C31" s="8" t="s">
        <v>636</v>
      </c>
      <c r="D31" s="15"/>
      <c r="E31" s="10"/>
      <c r="F31" s="10"/>
      <c r="G31" s="10"/>
      <c r="H31" s="10">
        <v>2</v>
      </c>
      <c r="I31" s="26">
        <f t="shared" si="0"/>
        <v>1</v>
      </c>
      <c r="J31" s="7" t="s">
        <v>30</v>
      </c>
      <c r="K31" s="7" t="s">
        <v>216</v>
      </c>
      <c r="L31" s="7" t="s">
        <v>873</v>
      </c>
      <c r="M31" s="15"/>
      <c r="N31" s="10"/>
      <c r="O31" s="10"/>
      <c r="P31" s="10"/>
      <c r="Q31" s="25"/>
      <c r="R31" s="31">
        <f t="shared" si="1"/>
        <v>0</v>
      </c>
      <c r="S31" s="7" t="s">
        <v>30</v>
      </c>
      <c r="T31" s="7" t="s">
        <v>216</v>
      </c>
      <c r="U31" s="7" t="s">
        <v>455</v>
      </c>
      <c r="V31" s="15"/>
      <c r="W31" s="10"/>
      <c r="X31" s="10">
        <v>2</v>
      </c>
      <c r="Y31" s="10"/>
      <c r="Z31" s="25"/>
      <c r="AA31" s="39">
        <f t="shared" si="2"/>
        <v>2</v>
      </c>
      <c r="AG31" s="63">
        <f t="shared" si="3"/>
        <v>0</v>
      </c>
      <c r="AH31" s="59">
        <f t="shared" si="4"/>
        <v>0</v>
      </c>
      <c r="AI31" s="69">
        <f t="shared" si="5"/>
        <v>2</v>
      </c>
    </row>
    <row r="32" spans="1:35" s="11" customFormat="1" ht="27" customHeight="1" x14ac:dyDescent="0.2">
      <c r="A32" s="7" t="s">
        <v>31</v>
      </c>
      <c r="B32" s="7" t="s">
        <v>217</v>
      </c>
      <c r="C32" s="8" t="s">
        <v>637</v>
      </c>
      <c r="D32" s="15"/>
      <c r="E32" s="10"/>
      <c r="F32" s="10"/>
      <c r="G32" s="10"/>
      <c r="H32" s="10">
        <v>2</v>
      </c>
      <c r="I32" s="26">
        <f t="shared" si="0"/>
        <v>1</v>
      </c>
      <c r="J32" s="7" t="s">
        <v>31</v>
      </c>
      <c r="K32" s="7" t="s">
        <v>217</v>
      </c>
      <c r="L32" s="7" t="s">
        <v>381</v>
      </c>
      <c r="M32" s="15"/>
      <c r="N32" s="10"/>
      <c r="O32" s="10"/>
      <c r="P32" s="10"/>
      <c r="Q32" s="25"/>
      <c r="R32" s="31">
        <f t="shared" si="1"/>
        <v>0</v>
      </c>
      <c r="S32" s="7" t="s">
        <v>31</v>
      </c>
      <c r="T32" s="7" t="s">
        <v>217</v>
      </c>
      <c r="U32" s="7" t="s">
        <v>456</v>
      </c>
      <c r="V32" s="15"/>
      <c r="W32" s="10"/>
      <c r="X32" s="10"/>
      <c r="Y32" s="10">
        <v>2</v>
      </c>
      <c r="Z32" s="25"/>
      <c r="AA32" s="39">
        <f t="shared" si="2"/>
        <v>2</v>
      </c>
      <c r="AG32" s="63">
        <f t="shared" si="3"/>
        <v>0</v>
      </c>
      <c r="AH32" s="59">
        <f t="shared" si="4"/>
        <v>0</v>
      </c>
      <c r="AI32" s="69">
        <f t="shared" si="5"/>
        <v>2</v>
      </c>
    </row>
    <row r="33" spans="1:35" s="11" customFormat="1" ht="27" customHeight="1" x14ac:dyDescent="0.2">
      <c r="A33" s="7" t="s">
        <v>32</v>
      </c>
      <c r="B33" s="7" t="s">
        <v>218</v>
      </c>
      <c r="C33" s="8" t="s">
        <v>638</v>
      </c>
      <c r="D33" s="15"/>
      <c r="E33" s="10"/>
      <c r="F33" s="10"/>
      <c r="G33" s="10"/>
      <c r="H33" s="10"/>
      <c r="I33" s="26">
        <f t="shared" si="0"/>
        <v>0</v>
      </c>
      <c r="J33" s="7" t="s">
        <v>32</v>
      </c>
      <c r="K33" s="7" t="s">
        <v>218</v>
      </c>
      <c r="L33" s="7" t="s">
        <v>382</v>
      </c>
      <c r="M33" s="15"/>
      <c r="N33" s="10"/>
      <c r="O33" s="10"/>
      <c r="P33" s="10"/>
      <c r="Q33" s="25"/>
      <c r="R33" s="31">
        <f t="shared" si="1"/>
        <v>0</v>
      </c>
      <c r="S33" s="7" t="s">
        <v>32</v>
      </c>
      <c r="T33" s="7" t="s">
        <v>218</v>
      </c>
      <c r="U33" s="7" t="s">
        <v>457</v>
      </c>
      <c r="V33" s="15"/>
      <c r="W33" s="10"/>
      <c r="X33" s="10"/>
      <c r="Y33" s="10"/>
      <c r="Z33" s="25">
        <v>1</v>
      </c>
      <c r="AA33" s="39">
        <f t="shared" si="2"/>
        <v>0.5</v>
      </c>
      <c r="AG33" s="63">
        <f t="shared" si="3"/>
        <v>0</v>
      </c>
      <c r="AH33" s="59">
        <f t="shared" si="4"/>
        <v>0</v>
      </c>
      <c r="AI33" s="69">
        <f t="shared" si="5"/>
        <v>0</v>
      </c>
    </row>
    <row r="34" spans="1:35" s="11" customFormat="1" ht="27" customHeight="1" x14ac:dyDescent="0.2">
      <c r="A34" s="7" t="s">
        <v>33</v>
      </c>
      <c r="B34" s="7" t="s">
        <v>219</v>
      </c>
      <c r="C34" s="8" t="s">
        <v>639</v>
      </c>
      <c r="D34" s="15"/>
      <c r="E34" s="10"/>
      <c r="F34" s="10"/>
      <c r="G34" s="10"/>
      <c r="H34" s="10">
        <v>1</v>
      </c>
      <c r="I34" s="26">
        <f t="shared" si="0"/>
        <v>0.5</v>
      </c>
      <c r="J34" s="7" t="s">
        <v>33</v>
      </c>
      <c r="K34" s="7" t="s">
        <v>219</v>
      </c>
      <c r="L34" s="7" t="s">
        <v>383</v>
      </c>
      <c r="M34" s="15">
        <v>2</v>
      </c>
      <c r="N34" s="10"/>
      <c r="O34" s="10"/>
      <c r="P34" s="10"/>
      <c r="Q34" s="25"/>
      <c r="R34" s="31">
        <f t="shared" si="1"/>
        <v>2</v>
      </c>
      <c r="S34" s="7" t="s">
        <v>33</v>
      </c>
      <c r="T34" s="7" t="s">
        <v>219</v>
      </c>
      <c r="U34" s="7" t="s">
        <v>458</v>
      </c>
      <c r="V34" s="15"/>
      <c r="W34" s="10"/>
      <c r="X34" s="10">
        <v>2</v>
      </c>
      <c r="Y34" s="10"/>
      <c r="Z34" s="25"/>
      <c r="AA34" s="39">
        <f t="shared" si="2"/>
        <v>2</v>
      </c>
      <c r="AG34" s="63">
        <f t="shared" si="3"/>
        <v>0</v>
      </c>
      <c r="AH34" s="59">
        <f t="shared" si="4"/>
        <v>0</v>
      </c>
      <c r="AI34" s="69">
        <f t="shared" si="5"/>
        <v>2</v>
      </c>
    </row>
    <row r="35" spans="1:35" s="11" customFormat="1" ht="27" customHeight="1" x14ac:dyDescent="0.2">
      <c r="A35" s="7" t="s">
        <v>34</v>
      </c>
      <c r="B35" s="7" t="s">
        <v>220</v>
      </c>
      <c r="C35" s="8" t="s">
        <v>640</v>
      </c>
      <c r="D35" s="15"/>
      <c r="E35" s="10"/>
      <c r="F35" s="10">
        <v>2</v>
      </c>
      <c r="G35" s="10"/>
      <c r="H35" s="10"/>
      <c r="I35" s="26">
        <f t="shared" si="0"/>
        <v>2</v>
      </c>
      <c r="J35" s="7" t="s">
        <v>34</v>
      </c>
      <c r="K35" s="7" t="s">
        <v>220</v>
      </c>
      <c r="L35" s="7" t="s">
        <v>874</v>
      </c>
      <c r="M35" s="15"/>
      <c r="N35" s="10"/>
      <c r="O35" s="10">
        <v>2</v>
      </c>
      <c r="P35" s="10"/>
      <c r="Q35" s="25"/>
      <c r="R35" s="31">
        <f t="shared" si="1"/>
        <v>2</v>
      </c>
      <c r="S35" s="7" t="s">
        <v>34</v>
      </c>
      <c r="T35" s="7" t="s">
        <v>220</v>
      </c>
      <c r="U35" s="7" t="s">
        <v>459</v>
      </c>
      <c r="V35" s="15"/>
      <c r="W35" s="10"/>
      <c r="X35" s="10">
        <v>2</v>
      </c>
      <c r="Y35" s="10"/>
      <c r="Z35" s="25"/>
      <c r="AA35" s="39">
        <f t="shared" si="2"/>
        <v>2</v>
      </c>
      <c r="AG35" s="63">
        <f t="shared" si="3"/>
        <v>2</v>
      </c>
      <c r="AH35" s="59">
        <f t="shared" si="4"/>
        <v>2</v>
      </c>
      <c r="AI35" s="69">
        <f t="shared" si="5"/>
        <v>2</v>
      </c>
    </row>
    <row r="36" spans="1:35" s="11" customFormat="1" ht="27" customHeight="1" x14ac:dyDescent="0.2">
      <c r="A36" s="7" t="s">
        <v>35</v>
      </c>
      <c r="B36" s="7" t="s">
        <v>221</v>
      </c>
      <c r="C36" s="9" t="s">
        <v>641</v>
      </c>
      <c r="D36" s="16"/>
      <c r="E36" s="10"/>
      <c r="F36" s="10"/>
      <c r="G36" s="10"/>
      <c r="H36" s="10"/>
      <c r="I36" s="26">
        <f t="shared" si="0"/>
        <v>0</v>
      </c>
      <c r="J36" s="7" t="s">
        <v>35</v>
      </c>
      <c r="K36" s="7" t="s">
        <v>221</v>
      </c>
      <c r="L36" s="7" t="s">
        <v>875</v>
      </c>
      <c r="M36" s="16"/>
      <c r="N36" s="10"/>
      <c r="O36" s="10"/>
      <c r="P36" s="10"/>
      <c r="Q36" s="25"/>
      <c r="R36" s="31">
        <f t="shared" si="1"/>
        <v>0</v>
      </c>
      <c r="S36" s="7" t="s">
        <v>35</v>
      </c>
      <c r="T36" s="7" t="s">
        <v>221</v>
      </c>
      <c r="U36" s="7" t="s">
        <v>460</v>
      </c>
      <c r="V36" s="16"/>
      <c r="W36" s="10"/>
      <c r="X36" s="10">
        <v>2</v>
      </c>
      <c r="Y36" s="10"/>
      <c r="Z36" s="25"/>
      <c r="AA36" s="39">
        <f t="shared" si="2"/>
        <v>2</v>
      </c>
      <c r="AG36" s="63">
        <f t="shared" si="3"/>
        <v>0</v>
      </c>
      <c r="AH36" s="59">
        <f t="shared" si="4"/>
        <v>0</v>
      </c>
      <c r="AI36" s="69">
        <f t="shared" si="5"/>
        <v>2</v>
      </c>
    </row>
    <row r="37" spans="1:35" s="11" customFormat="1" ht="27" customHeight="1" x14ac:dyDescent="0.2">
      <c r="A37" s="7" t="s">
        <v>36</v>
      </c>
      <c r="B37" s="7" t="s">
        <v>222</v>
      </c>
      <c r="C37" s="8" t="s">
        <v>642</v>
      </c>
      <c r="D37" s="15"/>
      <c r="E37" s="10"/>
      <c r="F37" s="10"/>
      <c r="G37" s="10"/>
      <c r="H37" s="10"/>
      <c r="I37" s="26">
        <f t="shared" si="0"/>
        <v>0</v>
      </c>
      <c r="J37" s="7" t="s">
        <v>36</v>
      </c>
      <c r="K37" s="7" t="s">
        <v>222</v>
      </c>
      <c r="L37" s="7" t="s">
        <v>384</v>
      </c>
      <c r="M37" s="15"/>
      <c r="N37" s="10"/>
      <c r="O37" s="10"/>
      <c r="P37" s="10"/>
      <c r="Q37" s="25"/>
      <c r="R37" s="31">
        <f t="shared" si="1"/>
        <v>0</v>
      </c>
      <c r="S37" s="7" t="s">
        <v>36</v>
      </c>
      <c r="T37" s="7" t="s">
        <v>222</v>
      </c>
      <c r="U37" s="7" t="s">
        <v>461</v>
      </c>
      <c r="V37" s="15"/>
      <c r="W37" s="10"/>
      <c r="X37" s="10"/>
      <c r="Y37" s="10">
        <v>2</v>
      </c>
      <c r="Z37" s="25"/>
      <c r="AA37" s="39">
        <f t="shared" si="2"/>
        <v>2</v>
      </c>
      <c r="AG37" s="63">
        <f t="shared" si="3"/>
        <v>0</v>
      </c>
      <c r="AH37" s="59">
        <f t="shared" si="4"/>
        <v>0</v>
      </c>
      <c r="AI37" s="69">
        <f t="shared" si="5"/>
        <v>2</v>
      </c>
    </row>
    <row r="38" spans="1:35" s="11" customFormat="1" ht="27" customHeight="1" x14ac:dyDescent="0.2">
      <c r="A38" s="7" t="s">
        <v>37</v>
      </c>
      <c r="B38" s="7" t="s">
        <v>223</v>
      </c>
      <c r="C38" s="8" t="s">
        <v>643</v>
      </c>
      <c r="D38" s="15"/>
      <c r="E38" s="10"/>
      <c r="F38" s="10"/>
      <c r="G38" s="10"/>
      <c r="H38" s="10"/>
      <c r="I38" s="26">
        <f t="shared" si="0"/>
        <v>0</v>
      </c>
      <c r="J38" s="7" t="s">
        <v>37</v>
      </c>
      <c r="K38" s="7" t="s">
        <v>223</v>
      </c>
      <c r="L38" s="7" t="s">
        <v>876</v>
      </c>
      <c r="M38" s="15"/>
      <c r="N38" s="10"/>
      <c r="O38" s="10"/>
      <c r="P38" s="10"/>
      <c r="Q38" s="25"/>
      <c r="R38" s="31">
        <f t="shared" si="1"/>
        <v>0</v>
      </c>
      <c r="S38" s="7" t="s">
        <v>37</v>
      </c>
      <c r="T38" s="7" t="s">
        <v>223</v>
      </c>
      <c r="U38" s="7" t="s">
        <v>462</v>
      </c>
      <c r="V38" s="15"/>
      <c r="W38" s="10"/>
      <c r="X38" s="10"/>
      <c r="Y38" s="10">
        <v>2</v>
      </c>
      <c r="Z38" s="25"/>
      <c r="AA38" s="39">
        <f t="shared" si="2"/>
        <v>2</v>
      </c>
      <c r="AG38" s="63">
        <f t="shared" si="3"/>
        <v>0</v>
      </c>
      <c r="AH38" s="59">
        <f t="shared" si="4"/>
        <v>0</v>
      </c>
      <c r="AI38" s="69">
        <f t="shared" si="5"/>
        <v>2</v>
      </c>
    </row>
    <row r="39" spans="1:35" s="11" customFormat="1" ht="27" customHeight="1" x14ac:dyDescent="0.2">
      <c r="A39" s="7" t="s">
        <v>38</v>
      </c>
      <c r="B39" s="7" t="s">
        <v>224</v>
      </c>
      <c r="C39" s="8" t="s">
        <v>1008</v>
      </c>
      <c r="D39" s="15"/>
      <c r="E39" s="10"/>
      <c r="F39" s="10"/>
      <c r="G39" s="10"/>
      <c r="H39" s="10"/>
      <c r="I39" s="26">
        <f t="shared" si="0"/>
        <v>0</v>
      </c>
      <c r="J39" s="7" t="s">
        <v>38</v>
      </c>
      <c r="K39" s="7" t="s">
        <v>224</v>
      </c>
      <c r="L39" s="7" t="s">
        <v>385</v>
      </c>
      <c r="M39" s="15"/>
      <c r="N39" s="10"/>
      <c r="O39" s="10"/>
      <c r="P39" s="10"/>
      <c r="Q39" s="25">
        <v>1</v>
      </c>
      <c r="R39" s="31">
        <f t="shared" si="1"/>
        <v>0.5</v>
      </c>
      <c r="S39" s="7" t="s">
        <v>38</v>
      </c>
      <c r="T39" s="7" t="s">
        <v>224</v>
      </c>
      <c r="U39" s="7" t="s">
        <v>463</v>
      </c>
      <c r="V39" s="15"/>
      <c r="W39" s="10"/>
      <c r="X39" s="10"/>
      <c r="Y39" s="10">
        <v>1</v>
      </c>
      <c r="Z39" s="25"/>
      <c r="AA39" s="39">
        <f t="shared" si="2"/>
        <v>1</v>
      </c>
      <c r="AG39" s="63">
        <f t="shared" si="3"/>
        <v>0</v>
      </c>
      <c r="AH39" s="59">
        <f t="shared" si="4"/>
        <v>0</v>
      </c>
      <c r="AI39" s="69">
        <f t="shared" si="5"/>
        <v>1</v>
      </c>
    </row>
    <row r="40" spans="1:35" s="11" customFormat="1" ht="27" customHeight="1" x14ac:dyDescent="0.2">
      <c r="A40" s="7" t="s">
        <v>39</v>
      </c>
      <c r="B40" s="7" t="s">
        <v>225</v>
      </c>
      <c r="C40" s="8" t="s">
        <v>644</v>
      </c>
      <c r="D40" s="15">
        <v>2</v>
      </c>
      <c r="E40" s="10"/>
      <c r="F40" s="10"/>
      <c r="G40" s="10"/>
      <c r="H40" s="10"/>
      <c r="I40" s="26">
        <f t="shared" si="0"/>
        <v>2</v>
      </c>
      <c r="J40" s="7" t="s">
        <v>39</v>
      </c>
      <c r="K40" s="7" t="s">
        <v>225</v>
      </c>
      <c r="L40" s="7" t="s">
        <v>386</v>
      </c>
      <c r="M40" s="15"/>
      <c r="N40" s="10"/>
      <c r="O40" s="10">
        <v>2</v>
      </c>
      <c r="P40" s="10"/>
      <c r="Q40" s="25"/>
      <c r="R40" s="31">
        <f t="shared" si="1"/>
        <v>2</v>
      </c>
      <c r="S40" s="7" t="s">
        <v>39</v>
      </c>
      <c r="T40" s="7" t="s">
        <v>225</v>
      </c>
      <c r="U40" s="7" t="s">
        <v>464</v>
      </c>
      <c r="V40" s="15"/>
      <c r="W40" s="10"/>
      <c r="X40" s="10">
        <v>2</v>
      </c>
      <c r="Y40" s="10"/>
      <c r="Z40" s="25"/>
      <c r="AA40" s="39">
        <f t="shared" si="2"/>
        <v>2</v>
      </c>
      <c r="AG40" s="63">
        <f t="shared" si="3"/>
        <v>0</v>
      </c>
      <c r="AH40" s="59">
        <f t="shared" si="4"/>
        <v>2</v>
      </c>
      <c r="AI40" s="69">
        <f t="shared" si="5"/>
        <v>2</v>
      </c>
    </row>
    <row r="41" spans="1:35" s="11" customFormat="1" ht="27" customHeight="1" x14ac:dyDescent="0.2">
      <c r="A41" s="7" t="s">
        <v>40</v>
      </c>
      <c r="B41" s="7" t="s">
        <v>226</v>
      </c>
      <c r="C41" s="8" t="s">
        <v>645</v>
      </c>
      <c r="D41" s="15"/>
      <c r="E41" s="10"/>
      <c r="F41" s="10"/>
      <c r="G41" s="10">
        <v>2</v>
      </c>
      <c r="H41" s="10"/>
      <c r="I41" s="26">
        <f t="shared" si="0"/>
        <v>2</v>
      </c>
      <c r="J41" s="7" t="s">
        <v>40</v>
      </c>
      <c r="K41" s="7" t="s">
        <v>226</v>
      </c>
      <c r="L41" s="7" t="s">
        <v>877</v>
      </c>
      <c r="M41" s="15"/>
      <c r="N41" s="10"/>
      <c r="O41" s="10"/>
      <c r="P41" s="10"/>
      <c r="Q41" s="25"/>
      <c r="R41" s="31">
        <f t="shared" si="1"/>
        <v>0</v>
      </c>
      <c r="S41" s="7" t="s">
        <v>40</v>
      </c>
      <c r="T41" s="7" t="s">
        <v>226</v>
      </c>
      <c r="U41" s="7" t="s">
        <v>465</v>
      </c>
      <c r="V41" s="15"/>
      <c r="W41" s="10"/>
      <c r="X41" s="10"/>
      <c r="Y41" s="10"/>
      <c r="Z41" s="25"/>
      <c r="AA41" s="39">
        <f t="shared" si="2"/>
        <v>0</v>
      </c>
      <c r="AG41" s="63">
        <f t="shared" si="3"/>
        <v>2</v>
      </c>
      <c r="AH41" s="59">
        <f t="shared" si="4"/>
        <v>0</v>
      </c>
      <c r="AI41" s="69">
        <f t="shared" si="5"/>
        <v>0</v>
      </c>
    </row>
    <row r="42" spans="1:35" s="11" customFormat="1" ht="27" customHeight="1" x14ac:dyDescent="0.2">
      <c r="A42" s="7" t="s">
        <v>41</v>
      </c>
      <c r="B42" s="7" t="s">
        <v>227</v>
      </c>
      <c r="C42" s="8" t="s">
        <v>646</v>
      </c>
      <c r="D42" s="15"/>
      <c r="E42" s="10"/>
      <c r="F42" s="10"/>
      <c r="G42" s="10"/>
      <c r="H42" s="10">
        <v>1</v>
      </c>
      <c r="I42" s="26">
        <f t="shared" si="0"/>
        <v>0.5</v>
      </c>
      <c r="J42" s="7" t="s">
        <v>41</v>
      </c>
      <c r="K42" s="7" t="s">
        <v>227</v>
      </c>
      <c r="L42" s="7" t="s">
        <v>878</v>
      </c>
      <c r="M42" s="15"/>
      <c r="N42" s="10"/>
      <c r="O42" s="10"/>
      <c r="P42" s="10">
        <v>2</v>
      </c>
      <c r="Q42" s="25"/>
      <c r="R42" s="31">
        <f t="shared" si="1"/>
        <v>2</v>
      </c>
      <c r="S42" s="7" t="s">
        <v>41</v>
      </c>
      <c r="T42" s="7" t="s">
        <v>227</v>
      </c>
      <c r="U42" s="7" t="s">
        <v>466</v>
      </c>
      <c r="V42" s="15"/>
      <c r="W42" s="10"/>
      <c r="X42" s="10"/>
      <c r="Y42" s="10">
        <v>2</v>
      </c>
      <c r="Z42" s="25"/>
      <c r="AA42" s="39">
        <f t="shared" si="2"/>
        <v>2</v>
      </c>
      <c r="AG42" s="63">
        <f t="shared" si="3"/>
        <v>0</v>
      </c>
      <c r="AH42" s="59">
        <f t="shared" si="4"/>
        <v>2</v>
      </c>
      <c r="AI42" s="69">
        <f t="shared" si="5"/>
        <v>2</v>
      </c>
    </row>
    <row r="43" spans="1:35" s="11" customFormat="1" ht="27" customHeight="1" x14ac:dyDescent="0.2">
      <c r="A43" s="7" t="s">
        <v>42</v>
      </c>
      <c r="B43" s="7" t="s">
        <v>228</v>
      </c>
      <c r="C43" s="8" t="s">
        <v>647</v>
      </c>
      <c r="D43" s="15"/>
      <c r="E43" s="10"/>
      <c r="F43" s="10"/>
      <c r="G43" s="10"/>
      <c r="H43" s="10">
        <v>1</v>
      </c>
      <c r="I43" s="26">
        <f t="shared" si="0"/>
        <v>0.5</v>
      </c>
      <c r="J43" s="7" t="s">
        <v>42</v>
      </c>
      <c r="K43" s="7" t="s">
        <v>228</v>
      </c>
      <c r="L43" s="7" t="s">
        <v>879</v>
      </c>
      <c r="M43" s="15"/>
      <c r="N43" s="10"/>
      <c r="O43" s="10"/>
      <c r="P43" s="10">
        <v>1</v>
      </c>
      <c r="Q43" s="25"/>
      <c r="R43" s="31">
        <f t="shared" si="1"/>
        <v>1</v>
      </c>
      <c r="S43" s="7" t="s">
        <v>42</v>
      </c>
      <c r="T43" s="7" t="s">
        <v>228</v>
      </c>
      <c r="U43" s="7" t="s">
        <v>467</v>
      </c>
      <c r="V43" s="15"/>
      <c r="W43" s="10"/>
      <c r="X43" s="10"/>
      <c r="Y43" s="10">
        <v>2</v>
      </c>
      <c r="Z43" s="25"/>
      <c r="AA43" s="39">
        <f t="shared" si="2"/>
        <v>2</v>
      </c>
      <c r="AG43" s="63">
        <f t="shared" si="3"/>
        <v>0</v>
      </c>
      <c r="AH43" s="59">
        <f t="shared" si="4"/>
        <v>1</v>
      </c>
      <c r="AI43" s="69">
        <f t="shared" si="5"/>
        <v>2</v>
      </c>
    </row>
    <row r="44" spans="1:35" s="11" customFormat="1" ht="27" customHeight="1" x14ac:dyDescent="0.2">
      <c r="A44" s="7" t="s">
        <v>43</v>
      </c>
      <c r="B44" s="7" t="s">
        <v>229</v>
      </c>
      <c r="C44" s="8" t="s">
        <v>648</v>
      </c>
      <c r="D44" s="15"/>
      <c r="E44" s="10"/>
      <c r="F44" s="10"/>
      <c r="G44" s="10"/>
      <c r="H44" s="10"/>
      <c r="I44" s="26">
        <f t="shared" si="0"/>
        <v>0</v>
      </c>
      <c r="J44" s="7" t="s">
        <v>43</v>
      </c>
      <c r="K44" s="7" t="s">
        <v>229</v>
      </c>
      <c r="L44" s="7" t="s">
        <v>880</v>
      </c>
      <c r="M44" s="15"/>
      <c r="N44" s="10"/>
      <c r="O44" s="10">
        <v>2</v>
      </c>
      <c r="P44" s="10"/>
      <c r="Q44" s="25"/>
      <c r="R44" s="31">
        <f t="shared" si="1"/>
        <v>2</v>
      </c>
      <c r="S44" s="7" t="s">
        <v>43</v>
      </c>
      <c r="T44" s="7" t="s">
        <v>229</v>
      </c>
      <c r="U44" s="7" t="s">
        <v>468</v>
      </c>
      <c r="V44" s="15"/>
      <c r="W44" s="10"/>
      <c r="X44" s="10">
        <v>2</v>
      </c>
      <c r="Y44" s="10"/>
      <c r="Z44" s="25"/>
      <c r="AA44" s="39">
        <f t="shared" si="2"/>
        <v>2</v>
      </c>
      <c r="AG44" s="63">
        <f t="shared" si="3"/>
        <v>0</v>
      </c>
      <c r="AH44" s="59">
        <f t="shared" si="4"/>
        <v>2</v>
      </c>
      <c r="AI44" s="69">
        <f t="shared" si="5"/>
        <v>2</v>
      </c>
    </row>
    <row r="45" spans="1:35" s="11" customFormat="1" ht="27" customHeight="1" x14ac:dyDescent="0.2">
      <c r="A45" s="7" t="s">
        <v>44</v>
      </c>
      <c r="B45" s="7" t="s">
        <v>230</v>
      </c>
      <c r="C45" s="8" t="s">
        <v>649</v>
      </c>
      <c r="D45" s="15"/>
      <c r="E45" s="10"/>
      <c r="F45" s="10"/>
      <c r="G45" s="10">
        <v>2</v>
      </c>
      <c r="H45" s="10"/>
      <c r="I45" s="26">
        <f t="shared" si="0"/>
        <v>2</v>
      </c>
      <c r="J45" s="7" t="s">
        <v>44</v>
      </c>
      <c r="K45" s="7" t="s">
        <v>230</v>
      </c>
      <c r="L45" s="7" t="s">
        <v>881</v>
      </c>
      <c r="M45" s="15"/>
      <c r="N45" s="10"/>
      <c r="O45" s="10">
        <v>2</v>
      </c>
      <c r="P45" s="10"/>
      <c r="Q45" s="25"/>
      <c r="R45" s="31">
        <f t="shared" si="1"/>
        <v>2</v>
      </c>
      <c r="S45" s="7" t="s">
        <v>44</v>
      </c>
      <c r="T45" s="7" t="s">
        <v>230</v>
      </c>
      <c r="U45" s="7" t="s">
        <v>469</v>
      </c>
      <c r="V45" s="15"/>
      <c r="W45" s="10"/>
      <c r="X45" s="10">
        <v>2</v>
      </c>
      <c r="Y45" s="10"/>
      <c r="Z45" s="25"/>
      <c r="AA45" s="39">
        <f t="shared" si="2"/>
        <v>2</v>
      </c>
      <c r="AG45" s="63">
        <f t="shared" si="3"/>
        <v>2</v>
      </c>
      <c r="AH45" s="59">
        <f t="shared" si="4"/>
        <v>2</v>
      </c>
      <c r="AI45" s="69">
        <f t="shared" si="5"/>
        <v>2</v>
      </c>
    </row>
    <row r="46" spans="1:35" s="11" customFormat="1" ht="27" customHeight="1" x14ac:dyDescent="0.2">
      <c r="A46" s="7" t="s">
        <v>45</v>
      </c>
      <c r="B46" s="7" t="s">
        <v>231</v>
      </c>
      <c r="C46" s="8" t="s">
        <v>650</v>
      </c>
      <c r="D46" s="15"/>
      <c r="E46" s="10"/>
      <c r="F46" s="10"/>
      <c r="G46" s="10">
        <v>1</v>
      </c>
      <c r="H46" s="10"/>
      <c r="I46" s="26">
        <f t="shared" si="0"/>
        <v>1</v>
      </c>
      <c r="J46" s="7" t="s">
        <v>45</v>
      </c>
      <c r="K46" s="7" t="s">
        <v>231</v>
      </c>
      <c r="L46" s="7" t="s">
        <v>387</v>
      </c>
      <c r="M46" s="15">
        <v>1</v>
      </c>
      <c r="N46" s="10"/>
      <c r="O46" s="10"/>
      <c r="P46" s="10"/>
      <c r="Q46" s="25"/>
      <c r="R46" s="31">
        <f t="shared" si="1"/>
        <v>1</v>
      </c>
      <c r="S46" s="7" t="s">
        <v>45</v>
      </c>
      <c r="T46" s="7" t="s">
        <v>231</v>
      </c>
      <c r="U46" s="7" t="s">
        <v>470</v>
      </c>
      <c r="V46" s="15"/>
      <c r="W46" s="10"/>
      <c r="X46" s="10"/>
      <c r="Y46" s="10">
        <v>2</v>
      </c>
      <c r="Z46" s="25"/>
      <c r="AA46" s="39">
        <f t="shared" si="2"/>
        <v>2</v>
      </c>
      <c r="AG46" s="63">
        <f t="shared" si="3"/>
        <v>1</v>
      </c>
      <c r="AH46" s="59">
        <f t="shared" si="4"/>
        <v>0</v>
      </c>
      <c r="AI46" s="69">
        <f t="shared" si="5"/>
        <v>2</v>
      </c>
    </row>
    <row r="47" spans="1:35" s="11" customFormat="1" ht="27" customHeight="1" x14ac:dyDescent="0.2">
      <c r="A47" s="7" t="s">
        <v>46</v>
      </c>
      <c r="B47" s="7" t="s">
        <v>232</v>
      </c>
      <c r="C47" s="8" t="s">
        <v>651</v>
      </c>
      <c r="D47" s="15"/>
      <c r="E47" s="10"/>
      <c r="F47" s="10"/>
      <c r="G47" s="10">
        <v>2</v>
      </c>
      <c r="H47" s="10"/>
      <c r="I47" s="26">
        <f t="shared" si="0"/>
        <v>2</v>
      </c>
      <c r="J47" s="7" t="s">
        <v>46</v>
      </c>
      <c r="K47" s="7" t="s">
        <v>232</v>
      </c>
      <c r="L47" s="7" t="s">
        <v>388</v>
      </c>
      <c r="M47" s="15"/>
      <c r="N47" s="10"/>
      <c r="O47" s="10"/>
      <c r="P47" s="10">
        <v>2</v>
      </c>
      <c r="Q47" s="25"/>
      <c r="R47" s="31">
        <f t="shared" si="1"/>
        <v>2</v>
      </c>
      <c r="S47" s="7" t="s">
        <v>46</v>
      </c>
      <c r="T47" s="7" t="s">
        <v>232</v>
      </c>
      <c r="U47" s="7" t="s">
        <v>471</v>
      </c>
      <c r="V47" s="15"/>
      <c r="W47" s="10"/>
      <c r="X47" s="10"/>
      <c r="Y47" s="10"/>
      <c r="Z47" s="25">
        <v>1</v>
      </c>
      <c r="AA47" s="39">
        <f t="shared" si="2"/>
        <v>0.5</v>
      </c>
      <c r="AG47" s="63">
        <f t="shared" si="3"/>
        <v>2</v>
      </c>
      <c r="AH47" s="59">
        <f t="shared" si="4"/>
        <v>2</v>
      </c>
      <c r="AI47" s="69">
        <f t="shared" si="5"/>
        <v>0</v>
      </c>
    </row>
    <row r="48" spans="1:35" s="11" customFormat="1" ht="27" customHeight="1" x14ac:dyDescent="0.2">
      <c r="A48" s="7" t="s">
        <v>47</v>
      </c>
      <c r="B48" s="7" t="s">
        <v>233</v>
      </c>
      <c r="C48" s="8" t="s">
        <v>652</v>
      </c>
      <c r="D48" s="15"/>
      <c r="E48" s="10"/>
      <c r="F48" s="10"/>
      <c r="G48" s="10"/>
      <c r="H48" s="10"/>
      <c r="I48" s="26">
        <f t="shared" si="0"/>
        <v>0</v>
      </c>
      <c r="J48" s="7" t="s">
        <v>47</v>
      </c>
      <c r="K48" s="7" t="s">
        <v>233</v>
      </c>
      <c r="L48" s="7" t="s">
        <v>882</v>
      </c>
      <c r="M48" s="15"/>
      <c r="N48" s="10"/>
      <c r="O48" s="10"/>
      <c r="P48" s="10"/>
      <c r="Q48" s="25"/>
      <c r="R48" s="31">
        <f t="shared" si="1"/>
        <v>0</v>
      </c>
      <c r="S48" s="7" t="s">
        <v>47</v>
      </c>
      <c r="T48" s="7" t="s">
        <v>233</v>
      </c>
      <c r="U48" s="7" t="s">
        <v>472</v>
      </c>
      <c r="V48" s="15">
        <v>2</v>
      </c>
      <c r="W48" s="10"/>
      <c r="X48" s="10"/>
      <c r="Y48" s="10"/>
      <c r="Z48" s="25"/>
      <c r="AA48" s="39">
        <f t="shared" si="2"/>
        <v>2</v>
      </c>
      <c r="AG48" s="63">
        <f t="shared" si="3"/>
        <v>0</v>
      </c>
      <c r="AH48" s="59">
        <f t="shared" si="4"/>
        <v>0</v>
      </c>
      <c r="AI48" s="69">
        <f t="shared" si="5"/>
        <v>0</v>
      </c>
    </row>
    <row r="49" spans="1:35" s="11" customFormat="1" ht="27" customHeight="1" x14ac:dyDescent="0.2">
      <c r="A49" s="7" t="s">
        <v>48</v>
      </c>
      <c r="B49" s="7" t="s">
        <v>234</v>
      </c>
      <c r="C49" s="9" t="s">
        <v>653</v>
      </c>
      <c r="D49" s="16"/>
      <c r="E49" s="10"/>
      <c r="F49" s="10"/>
      <c r="G49" s="10"/>
      <c r="H49" s="10"/>
      <c r="I49" s="26">
        <f t="shared" si="0"/>
        <v>0</v>
      </c>
      <c r="J49" s="7" t="s">
        <v>48</v>
      </c>
      <c r="K49" s="7" t="s">
        <v>234</v>
      </c>
      <c r="L49" s="7" t="s">
        <v>389</v>
      </c>
      <c r="M49" s="16"/>
      <c r="N49" s="10"/>
      <c r="O49" s="10"/>
      <c r="P49" s="10"/>
      <c r="Q49" s="25">
        <v>1</v>
      </c>
      <c r="R49" s="31">
        <f t="shared" si="1"/>
        <v>0.5</v>
      </c>
      <c r="S49" s="7" t="s">
        <v>48</v>
      </c>
      <c r="T49" s="7" t="s">
        <v>234</v>
      </c>
      <c r="U49" s="7" t="s">
        <v>473</v>
      </c>
      <c r="V49" s="16"/>
      <c r="W49" s="10"/>
      <c r="X49" s="10"/>
      <c r="Y49" s="10">
        <v>2</v>
      </c>
      <c r="Z49" s="25"/>
      <c r="AA49" s="39">
        <f t="shared" si="2"/>
        <v>2</v>
      </c>
      <c r="AG49" s="63">
        <f t="shared" si="3"/>
        <v>0</v>
      </c>
      <c r="AH49" s="59">
        <f t="shared" si="4"/>
        <v>0</v>
      </c>
      <c r="AI49" s="69">
        <f t="shared" si="5"/>
        <v>2</v>
      </c>
    </row>
    <row r="50" spans="1:35" s="12" customFormat="1" ht="27" customHeight="1" x14ac:dyDescent="0.2">
      <c r="A50" s="7" t="s">
        <v>786</v>
      </c>
      <c r="B50" s="7" t="s">
        <v>787</v>
      </c>
      <c r="C50" s="8" t="s">
        <v>820</v>
      </c>
      <c r="D50" s="15">
        <v>1</v>
      </c>
      <c r="E50" s="10"/>
      <c r="F50" s="10"/>
      <c r="G50" s="10"/>
      <c r="H50" s="10"/>
      <c r="I50" s="26">
        <f t="shared" si="0"/>
        <v>1</v>
      </c>
      <c r="J50" s="7" t="s">
        <v>786</v>
      </c>
      <c r="K50" s="7" t="s">
        <v>787</v>
      </c>
      <c r="L50" s="7" t="s">
        <v>883</v>
      </c>
      <c r="M50" s="15"/>
      <c r="N50" s="10"/>
      <c r="O50" s="10"/>
      <c r="P50" s="10">
        <v>2</v>
      </c>
      <c r="Q50" s="25"/>
      <c r="R50" s="31">
        <f t="shared" si="1"/>
        <v>2</v>
      </c>
      <c r="S50" s="7" t="s">
        <v>786</v>
      </c>
      <c r="T50" s="7" t="s">
        <v>787</v>
      </c>
      <c r="U50" s="7" t="s">
        <v>834</v>
      </c>
      <c r="V50" s="15"/>
      <c r="W50" s="10"/>
      <c r="X50" s="10"/>
      <c r="Y50" s="10">
        <v>2</v>
      </c>
      <c r="Z50" s="25"/>
      <c r="AA50" s="39">
        <f t="shared" si="2"/>
        <v>2</v>
      </c>
      <c r="AG50" s="63">
        <f t="shared" si="3"/>
        <v>0</v>
      </c>
      <c r="AH50" s="59">
        <f t="shared" si="4"/>
        <v>2</v>
      </c>
      <c r="AI50" s="69">
        <f t="shared" si="5"/>
        <v>2</v>
      </c>
    </row>
    <row r="51" spans="1:35" s="12" customFormat="1" ht="27" customHeight="1" x14ac:dyDescent="0.2">
      <c r="A51" s="7" t="s">
        <v>788</v>
      </c>
      <c r="B51" s="7" t="s">
        <v>789</v>
      </c>
      <c r="C51" s="8" t="s">
        <v>821</v>
      </c>
      <c r="D51" s="15"/>
      <c r="E51" s="10"/>
      <c r="F51" s="10"/>
      <c r="G51" s="10"/>
      <c r="H51" s="10"/>
      <c r="I51" s="26">
        <f t="shared" si="0"/>
        <v>0</v>
      </c>
      <c r="J51" s="7" t="s">
        <v>788</v>
      </c>
      <c r="K51" s="7" t="s">
        <v>789</v>
      </c>
      <c r="L51" s="7" t="s">
        <v>884</v>
      </c>
      <c r="M51" s="15"/>
      <c r="N51" s="10"/>
      <c r="O51" s="10"/>
      <c r="P51" s="10"/>
      <c r="Q51" s="25"/>
      <c r="R51" s="31">
        <f t="shared" si="1"/>
        <v>0</v>
      </c>
      <c r="S51" s="7" t="s">
        <v>788</v>
      </c>
      <c r="T51" s="7" t="s">
        <v>789</v>
      </c>
      <c r="U51" s="7" t="s">
        <v>835</v>
      </c>
      <c r="V51" s="15"/>
      <c r="W51" s="10"/>
      <c r="X51" s="10">
        <v>2</v>
      </c>
      <c r="Y51" s="10"/>
      <c r="Z51" s="25"/>
      <c r="AA51" s="39">
        <f t="shared" si="2"/>
        <v>2</v>
      </c>
      <c r="AG51" s="63">
        <f t="shared" si="3"/>
        <v>0</v>
      </c>
      <c r="AH51" s="59">
        <f t="shared" si="4"/>
        <v>0</v>
      </c>
      <c r="AI51" s="69">
        <f t="shared" si="5"/>
        <v>2</v>
      </c>
    </row>
    <row r="52" spans="1:35" s="11" customFormat="1" ht="27" customHeight="1" x14ac:dyDescent="0.2">
      <c r="A52" s="7" t="s">
        <v>49</v>
      </c>
      <c r="B52" s="7" t="s">
        <v>235</v>
      </c>
      <c r="C52" s="8" t="s">
        <v>654</v>
      </c>
      <c r="D52" s="15"/>
      <c r="E52" s="10"/>
      <c r="F52" s="10">
        <v>2</v>
      </c>
      <c r="G52" s="10"/>
      <c r="H52" s="10"/>
      <c r="I52" s="26">
        <f t="shared" si="0"/>
        <v>2</v>
      </c>
      <c r="J52" s="7" t="s">
        <v>49</v>
      </c>
      <c r="K52" s="7" t="s">
        <v>235</v>
      </c>
      <c r="L52" s="7" t="s">
        <v>885</v>
      </c>
      <c r="M52" s="15"/>
      <c r="N52" s="10"/>
      <c r="O52" s="10"/>
      <c r="P52" s="10"/>
      <c r="Q52" s="25"/>
      <c r="R52" s="31">
        <f t="shared" si="1"/>
        <v>0</v>
      </c>
      <c r="S52" s="7" t="s">
        <v>49</v>
      </c>
      <c r="T52" s="7" t="s">
        <v>235</v>
      </c>
      <c r="U52" s="7" t="s">
        <v>474</v>
      </c>
      <c r="V52" s="15"/>
      <c r="W52" s="10"/>
      <c r="X52" s="10"/>
      <c r="Y52" s="10">
        <v>2</v>
      </c>
      <c r="Z52" s="25"/>
      <c r="AA52" s="39">
        <f t="shared" si="2"/>
        <v>2</v>
      </c>
      <c r="AG52" s="63">
        <f t="shared" si="3"/>
        <v>2</v>
      </c>
      <c r="AH52" s="59">
        <f t="shared" si="4"/>
        <v>0</v>
      </c>
      <c r="AI52" s="69">
        <f t="shared" si="5"/>
        <v>2</v>
      </c>
    </row>
    <row r="53" spans="1:35" s="11" customFormat="1" ht="27" customHeight="1" x14ac:dyDescent="0.2">
      <c r="A53" s="7" t="s">
        <v>50</v>
      </c>
      <c r="B53" s="7" t="s">
        <v>236</v>
      </c>
      <c r="C53" s="8" t="s">
        <v>655</v>
      </c>
      <c r="D53" s="15"/>
      <c r="E53" s="10"/>
      <c r="F53" s="10"/>
      <c r="G53" s="10">
        <v>2</v>
      </c>
      <c r="H53" s="10"/>
      <c r="I53" s="26">
        <f t="shared" si="0"/>
        <v>2</v>
      </c>
      <c r="J53" s="7" t="s">
        <v>50</v>
      </c>
      <c r="K53" s="7" t="s">
        <v>236</v>
      </c>
      <c r="L53" s="7" t="s">
        <v>886</v>
      </c>
      <c r="M53" s="15"/>
      <c r="N53" s="10"/>
      <c r="O53" s="10"/>
      <c r="P53" s="10"/>
      <c r="Q53" s="25"/>
      <c r="R53" s="31">
        <f t="shared" si="1"/>
        <v>0</v>
      </c>
      <c r="S53" s="7" t="s">
        <v>50</v>
      </c>
      <c r="T53" s="7" t="s">
        <v>236</v>
      </c>
      <c r="U53" s="7" t="s">
        <v>475</v>
      </c>
      <c r="V53" s="15"/>
      <c r="W53" s="10"/>
      <c r="X53" s="10">
        <v>2</v>
      </c>
      <c r="Y53" s="10"/>
      <c r="Z53" s="25"/>
      <c r="AA53" s="39">
        <f t="shared" si="2"/>
        <v>2</v>
      </c>
      <c r="AG53" s="63">
        <f t="shared" si="3"/>
        <v>2</v>
      </c>
      <c r="AH53" s="59">
        <f t="shared" si="4"/>
        <v>0</v>
      </c>
      <c r="AI53" s="69">
        <f t="shared" si="5"/>
        <v>2</v>
      </c>
    </row>
    <row r="54" spans="1:35" s="12" customFormat="1" ht="27" customHeight="1" x14ac:dyDescent="0.2">
      <c r="A54" s="7" t="s">
        <v>790</v>
      </c>
      <c r="B54" s="7" t="s">
        <v>791</v>
      </c>
      <c r="C54" s="8" t="s">
        <v>822</v>
      </c>
      <c r="D54" s="15"/>
      <c r="E54" s="10"/>
      <c r="F54" s="10"/>
      <c r="G54" s="10"/>
      <c r="H54" s="10">
        <v>1</v>
      </c>
      <c r="I54" s="26">
        <f t="shared" si="0"/>
        <v>0.5</v>
      </c>
      <c r="J54" s="7" t="s">
        <v>790</v>
      </c>
      <c r="K54" s="7" t="s">
        <v>791</v>
      </c>
      <c r="L54" s="7" t="s">
        <v>887</v>
      </c>
      <c r="M54" s="15"/>
      <c r="N54" s="10"/>
      <c r="O54" s="10"/>
      <c r="P54" s="10"/>
      <c r="Q54" s="25">
        <v>1</v>
      </c>
      <c r="R54" s="31">
        <f t="shared" si="1"/>
        <v>0.5</v>
      </c>
      <c r="S54" s="7" t="s">
        <v>790</v>
      </c>
      <c r="T54" s="7" t="s">
        <v>791</v>
      </c>
      <c r="U54" s="7" t="s">
        <v>836</v>
      </c>
      <c r="V54" s="15"/>
      <c r="W54" s="10"/>
      <c r="X54" s="10"/>
      <c r="Y54" s="10"/>
      <c r="Z54" s="25"/>
      <c r="AA54" s="39">
        <f t="shared" si="2"/>
        <v>0</v>
      </c>
      <c r="AG54" s="63">
        <f t="shared" si="3"/>
        <v>0</v>
      </c>
      <c r="AH54" s="59">
        <f t="shared" si="4"/>
        <v>0</v>
      </c>
      <c r="AI54" s="69">
        <f t="shared" si="5"/>
        <v>0</v>
      </c>
    </row>
    <row r="55" spans="1:35" s="11" customFormat="1" ht="27" customHeight="1" x14ac:dyDescent="0.2">
      <c r="A55" s="7" t="s">
        <v>51</v>
      </c>
      <c r="B55" s="7" t="s">
        <v>237</v>
      </c>
      <c r="C55" s="8" t="s">
        <v>656</v>
      </c>
      <c r="D55" s="15"/>
      <c r="E55" s="10"/>
      <c r="F55" s="10"/>
      <c r="G55" s="10"/>
      <c r="H55" s="10">
        <v>1</v>
      </c>
      <c r="I55" s="26">
        <f t="shared" si="0"/>
        <v>0.5</v>
      </c>
      <c r="J55" s="7" t="s">
        <v>51</v>
      </c>
      <c r="K55" s="7" t="s">
        <v>237</v>
      </c>
      <c r="L55" s="7" t="s">
        <v>888</v>
      </c>
      <c r="M55" s="15"/>
      <c r="N55" s="10"/>
      <c r="O55" s="10"/>
      <c r="P55" s="10">
        <v>2</v>
      </c>
      <c r="Q55" s="25"/>
      <c r="R55" s="31">
        <f t="shared" si="1"/>
        <v>2</v>
      </c>
      <c r="S55" s="7" t="s">
        <v>51</v>
      </c>
      <c r="T55" s="7" t="s">
        <v>237</v>
      </c>
      <c r="U55" s="7" t="s">
        <v>476</v>
      </c>
      <c r="V55" s="15"/>
      <c r="W55" s="10"/>
      <c r="X55" s="10"/>
      <c r="Y55" s="10">
        <v>2</v>
      </c>
      <c r="Z55" s="25"/>
      <c r="AA55" s="39">
        <f t="shared" si="2"/>
        <v>2</v>
      </c>
      <c r="AG55" s="63">
        <f t="shared" si="3"/>
        <v>0</v>
      </c>
      <c r="AH55" s="59">
        <f t="shared" si="4"/>
        <v>2</v>
      </c>
      <c r="AI55" s="69">
        <f t="shared" si="5"/>
        <v>2</v>
      </c>
    </row>
    <row r="56" spans="1:35" s="11" customFormat="1" ht="27" customHeight="1" x14ac:dyDescent="0.2">
      <c r="A56" s="7" t="s">
        <v>52</v>
      </c>
      <c r="B56" s="7" t="s">
        <v>238</v>
      </c>
      <c r="C56" s="8" t="s">
        <v>657</v>
      </c>
      <c r="D56" s="15">
        <v>1</v>
      </c>
      <c r="E56" s="10"/>
      <c r="F56" s="10"/>
      <c r="G56" s="10"/>
      <c r="H56" s="10"/>
      <c r="I56" s="26">
        <f t="shared" si="0"/>
        <v>1</v>
      </c>
      <c r="J56" s="7" t="s">
        <v>52</v>
      </c>
      <c r="K56" s="7" t="s">
        <v>238</v>
      </c>
      <c r="L56" s="7" t="s">
        <v>390</v>
      </c>
      <c r="M56" s="15"/>
      <c r="N56" s="10"/>
      <c r="O56" s="10"/>
      <c r="P56" s="10"/>
      <c r="Q56" s="25"/>
      <c r="R56" s="31">
        <f t="shared" si="1"/>
        <v>0</v>
      </c>
      <c r="S56" s="7" t="s">
        <v>52</v>
      </c>
      <c r="T56" s="7" t="s">
        <v>238</v>
      </c>
      <c r="U56" s="7" t="s">
        <v>477</v>
      </c>
      <c r="V56" s="15">
        <v>1</v>
      </c>
      <c r="W56" s="10"/>
      <c r="X56" s="10"/>
      <c r="Y56" s="10"/>
      <c r="Z56" s="25"/>
      <c r="AA56" s="39">
        <f t="shared" si="2"/>
        <v>1</v>
      </c>
      <c r="AG56" s="63">
        <f t="shared" si="3"/>
        <v>0</v>
      </c>
      <c r="AH56" s="59">
        <f t="shared" si="4"/>
        <v>0</v>
      </c>
      <c r="AI56" s="69">
        <f t="shared" si="5"/>
        <v>0</v>
      </c>
    </row>
    <row r="57" spans="1:35" s="11" customFormat="1" ht="27" customHeight="1" x14ac:dyDescent="0.2">
      <c r="A57" s="7" t="s">
        <v>53</v>
      </c>
      <c r="B57" s="7" t="s">
        <v>239</v>
      </c>
      <c r="C57" s="8" t="s">
        <v>658</v>
      </c>
      <c r="D57" s="15"/>
      <c r="E57" s="10"/>
      <c r="F57" s="10">
        <v>2</v>
      </c>
      <c r="G57" s="10"/>
      <c r="H57" s="10"/>
      <c r="I57" s="26">
        <f t="shared" si="0"/>
        <v>2</v>
      </c>
      <c r="J57" s="7" t="s">
        <v>53</v>
      </c>
      <c r="K57" s="7" t="s">
        <v>239</v>
      </c>
      <c r="L57" s="7" t="s">
        <v>889</v>
      </c>
      <c r="M57" s="15"/>
      <c r="N57" s="10"/>
      <c r="O57" s="10"/>
      <c r="P57" s="10"/>
      <c r="Q57" s="25"/>
      <c r="R57" s="31">
        <f t="shared" si="1"/>
        <v>0</v>
      </c>
      <c r="S57" s="7" t="s">
        <v>53</v>
      </c>
      <c r="T57" s="7" t="s">
        <v>239</v>
      </c>
      <c r="U57" s="7" t="s">
        <v>478</v>
      </c>
      <c r="V57" s="15">
        <v>2</v>
      </c>
      <c r="W57" s="10"/>
      <c r="X57" s="10"/>
      <c r="Y57" s="10"/>
      <c r="Z57" s="25"/>
      <c r="AA57" s="39">
        <f t="shared" si="2"/>
        <v>2</v>
      </c>
      <c r="AG57" s="63">
        <f t="shared" si="3"/>
        <v>2</v>
      </c>
      <c r="AH57" s="59">
        <f t="shared" si="4"/>
        <v>0</v>
      </c>
      <c r="AI57" s="69">
        <f t="shared" si="5"/>
        <v>0</v>
      </c>
    </row>
    <row r="58" spans="1:35" s="11" customFormat="1" ht="27" customHeight="1" x14ac:dyDescent="0.2">
      <c r="A58" s="7" t="s">
        <v>54</v>
      </c>
      <c r="B58" s="7" t="s">
        <v>240</v>
      </c>
      <c r="C58" s="8" t="s">
        <v>659</v>
      </c>
      <c r="D58" s="15"/>
      <c r="E58" s="10"/>
      <c r="F58" s="10">
        <v>1</v>
      </c>
      <c r="G58" s="10"/>
      <c r="H58" s="10"/>
      <c r="I58" s="26">
        <f t="shared" si="0"/>
        <v>1</v>
      </c>
      <c r="J58" s="7" t="s">
        <v>54</v>
      </c>
      <c r="K58" s="7" t="s">
        <v>240</v>
      </c>
      <c r="L58" s="7" t="s">
        <v>391</v>
      </c>
      <c r="M58" s="15"/>
      <c r="N58" s="10"/>
      <c r="O58" s="10">
        <v>1</v>
      </c>
      <c r="P58" s="10"/>
      <c r="Q58" s="25"/>
      <c r="R58" s="31">
        <f t="shared" si="1"/>
        <v>1</v>
      </c>
      <c r="S58" s="7" t="s">
        <v>54</v>
      </c>
      <c r="T58" s="7" t="s">
        <v>240</v>
      </c>
      <c r="U58" s="7" t="s">
        <v>479</v>
      </c>
      <c r="V58" s="15"/>
      <c r="W58" s="10"/>
      <c r="X58" s="10">
        <v>1</v>
      </c>
      <c r="Y58" s="10"/>
      <c r="Z58" s="25"/>
      <c r="AA58" s="39">
        <f t="shared" si="2"/>
        <v>1</v>
      </c>
      <c r="AG58" s="63">
        <f t="shared" si="3"/>
        <v>1</v>
      </c>
      <c r="AH58" s="59">
        <f t="shared" si="4"/>
        <v>1</v>
      </c>
      <c r="AI58" s="69">
        <f t="shared" si="5"/>
        <v>1</v>
      </c>
    </row>
    <row r="59" spans="1:35" s="11" customFormat="1" ht="27" customHeight="1" x14ac:dyDescent="0.2">
      <c r="A59" s="7" t="s">
        <v>55</v>
      </c>
      <c r="B59" s="7" t="s">
        <v>241</v>
      </c>
      <c r="C59" s="8" t="s">
        <v>660</v>
      </c>
      <c r="D59" s="15"/>
      <c r="E59" s="10"/>
      <c r="F59" s="10">
        <v>2</v>
      </c>
      <c r="G59" s="10"/>
      <c r="H59" s="10"/>
      <c r="I59" s="26">
        <f t="shared" si="0"/>
        <v>2</v>
      </c>
      <c r="J59" s="7" t="s">
        <v>55</v>
      </c>
      <c r="K59" s="7" t="s">
        <v>241</v>
      </c>
      <c r="L59" s="7" t="s">
        <v>890</v>
      </c>
      <c r="M59" s="15"/>
      <c r="N59" s="10"/>
      <c r="O59" s="10">
        <v>2</v>
      </c>
      <c r="P59" s="10"/>
      <c r="Q59" s="25"/>
      <c r="R59" s="31">
        <f t="shared" si="1"/>
        <v>2</v>
      </c>
      <c r="S59" s="7" t="s">
        <v>55</v>
      </c>
      <c r="T59" s="7" t="s">
        <v>241</v>
      </c>
      <c r="U59" s="7" t="s">
        <v>480</v>
      </c>
      <c r="V59" s="15"/>
      <c r="W59" s="10"/>
      <c r="X59" s="10"/>
      <c r="Y59" s="10"/>
      <c r="Z59" s="25"/>
      <c r="AA59" s="39">
        <f t="shared" si="2"/>
        <v>0</v>
      </c>
      <c r="AG59" s="63">
        <f t="shared" si="3"/>
        <v>2</v>
      </c>
      <c r="AH59" s="59">
        <f t="shared" si="4"/>
        <v>2</v>
      </c>
      <c r="AI59" s="69">
        <f t="shared" si="5"/>
        <v>0</v>
      </c>
    </row>
    <row r="60" spans="1:35" s="11" customFormat="1" ht="27" customHeight="1" x14ac:dyDescent="0.2">
      <c r="A60" s="7" t="s">
        <v>56</v>
      </c>
      <c r="B60" s="7" t="s">
        <v>242</v>
      </c>
      <c r="C60" s="8" t="s">
        <v>661</v>
      </c>
      <c r="D60" s="15">
        <v>1</v>
      </c>
      <c r="E60" s="10"/>
      <c r="F60" s="10"/>
      <c r="G60" s="10"/>
      <c r="H60" s="10"/>
      <c r="I60" s="26">
        <f t="shared" si="0"/>
        <v>1</v>
      </c>
      <c r="J60" s="7" t="s">
        <v>56</v>
      </c>
      <c r="K60" s="7" t="s">
        <v>242</v>
      </c>
      <c r="L60" s="7" t="s">
        <v>891</v>
      </c>
      <c r="M60" s="15"/>
      <c r="N60" s="10"/>
      <c r="O60" s="10"/>
      <c r="P60" s="10"/>
      <c r="Q60" s="25"/>
      <c r="R60" s="31">
        <f t="shared" si="1"/>
        <v>0</v>
      </c>
      <c r="S60" s="7" t="s">
        <v>56</v>
      </c>
      <c r="T60" s="7" t="s">
        <v>242</v>
      </c>
      <c r="U60" s="7" t="s">
        <v>481</v>
      </c>
      <c r="V60" s="15"/>
      <c r="W60" s="10"/>
      <c r="X60" s="10">
        <v>2</v>
      </c>
      <c r="Y60" s="10"/>
      <c r="Z60" s="25"/>
      <c r="AA60" s="39">
        <f t="shared" si="2"/>
        <v>2</v>
      </c>
      <c r="AG60" s="63">
        <f t="shared" si="3"/>
        <v>0</v>
      </c>
      <c r="AH60" s="59">
        <f t="shared" si="4"/>
        <v>0</v>
      </c>
      <c r="AI60" s="69">
        <f t="shared" si="5"/>
        <v>2</v>
      </c>
    </row>
    <row r="61" spans="1:35" s="12" customFormat="1" ht="27" customHeight="1" x14ac:dyDescent="0.2">
      <c r="A61" s="7" t="s">
        <v>792</v>
      </c>
      <c r="B61" s="7" t="s">
        <v>793</v>
      </c>
      <c r="C61" s="8" t="s">
        <v>823</v>
      </c>
      <c r="D61" s="15"/>
      <c r="E61" s="10"/>
      <c r="F61" s="10">
        <v>2</v>
      </c>
      <c r="G61" s="10"/>
      <c r="H61" s="10"/>
      <c r="I61" s="26">
        <f t="shared" si="0"/>
        <v>2</v>
      </c>
      <c r="J61" s="7" t="s">
        <v>792</v>
      </c>
      <c r="K61" s="7" t="s">
        <v>793</v>
      </c>
      <c r="L61" s="7" t="s">
        <v>892</v>
      </c>
      <c r="M61" s="15"/>
      <c r="N61" s="10"/>
      <c r="O61" s="10"/>
      <c r="P61" s="10">
        <v>2</v>
      </c>
      <c r="Q61" s="25"/>
      <c r="R61" s="31">
        <f t="shared" si="1"/>
        <v>2</v>
      </c>
      <c r="S61" s="7" t="s">
        <v>792</v>
      </c>
      <c r="T61" s="7" t="s">
        <v>793</v>
      </c>
      <c r="U61" s="7" t="s">
        <v>837</v>
      </c>
      <c r="V61" s="15"/>
      <c r="W61" s="10"/>
      <c r="X61" s="10">
        <v>2</v>
      </c>
      <c r="Y61" s="10"/>
      <c r="Z61" s="25"/>
      <c r="AA61" s="39">
        <f t="shared" si="2"/>
        <v>2</v>
      </c>
      <c r="AG61" s="63">
        <f t="shared" si="3"/>
        <v>2</v>
      </c>
      <c r="AH61" s="59">
        <f t="shared" si="4"/>
        <v>2</v>
      </c>
      <c r="AI61" s="69">
        <f t="shared" si="5"/>
        <v>2</v>
      </c>
    </row>
    <row r="62" spans="1:35" s="11" customFormat="1" ht="27" customHeight="1" x14ac:dyDescent="0.2">
      <c r="A62" s="7" t="s">
        <v>57</v>
      </c>
      <c r="B62" s="7" t="s">
        <v>243</v>
      </c>
      <c r="C62" s="8" t="s">
        <v>662</v>
      </c>
      <c r="D62" s="15"/>
      <c r="E62" s="10"/>
      <c r="F62" s="10"/>
      <c r="G62" s="10"/>
      <c r="H62" s="10">
        <v>1</v>
      </c>
      <c r="I62" s="26">
        <f t="shared" si="0"/>
        <v>0.5</v>
      </c>
      <c r="J62" s="7" t="s">
        <v>57</v>
      </c>
      <c r="K62" s="7" t="s">
        <v>243</v>
      </c>
      <c r="L62" s="7" t="s">
        <v>893</v>
      </c>
      <c r="M62" s="15"/>
      <c r="N62" s="10"/>
      <c r="O62" s="10">
        <v>2</v>
      </c>
      <c r="P62" s="10"/>
      <c r="Q62" s="25"/>
      <c r="R62" s="31">
        <f t="shared" si="1"/>
        <v>2</v>
      </c>
      <c r="S62" s="7" t="s">
        <v>57</v>
      </c>
      <c r="T62" s="7" t="s">
        <v>243</v>
      </c>
      <c r="U62" s="7" t="s">
        <v>482</v>
      </c>
      <c r="V62" s="15"/>
      <c r="W62" s="10"/>
      <c r="X62" s="10">
        <v>2</v>
      </c>
      <c r="Y62" s="10"/>
      <c r="Z62" s="25"/>
      <c r="AA62" s="39">
        <f t="shared" si="2"/>
        <v>2</v>
      </c>
      <c r="AG62" s="63">
        <f t="shared" si="3"/>
        <v>0</v>
      </c>
      <c r="AH62" s="59">
        <f t="shared" si="4"/>
        <v>2</v>
      </c>
      <c r="AI62" s="69">
        <f t="shared" si="5"/>
        <v>2</v>
      </c>
    </row>
    <row r="63" spans="1:35" s="11" customFormat="1" ht="27" customHeight="1" x14ac:dyDescent="0.2">
      <c r="A63" s="7" t="s">
        <v>58</v>
      </c>
      <c r="B63" s="7" t="s">
        <v>244</v>
      </c>
      <c r="C63" s="8" t="s">
        <v>663</v>
      </c>
      <c r="D63" s="15"/>
      <c r="E63" s="10"/>
      <c r="F63" s="10"/>
      <c r="G63" s="10"/>
      <c r="H63" s="10">
        <v>1</v>
      </c>
      <c r="I63" s="26">
        <f t="shared" si="0"/>
        <v>0.5</v>
      </c>
      <c r="J63" s="7" t="s">
        <v>58</v>
      </c>
      <c r="K63" s="7" t="s">
        <v>244</v>
      </c>
      <c r="L63" s="7" t="s">
        <v>392</v>
      </c>
      <c r="M63" s="15">
        <v>1</v>
      </c>
      <c r="N63" s="10"/>
      <c r="O63" s="10"/>
      <c r="P63" s="10"/>
      <c r="Q63" s="25"/>
      <c r="R63" s="31">
        <f t="shared" si="1"/>
        <v>1</v>
      </c>
      <c r="S63" s="7" t="s">
        <v>58</v>
      </c>
      <c r="T63" s="7" t="s">
        <v>244</v>
      </c>
      <c r="U63" s="7" t="s">
        <v>483</v>
      </c>
      <c r="V63" s="15"/>
      <c r="W63" s="10"/>
      <c r="X63" s="10">
        <v>2</v>
      </c>
      <c r="Y63" s="10"/>
      <c r="Z63" s="25"/>
      <c r="AA63" s="39">
        <f t="shared" si="2"/>
        <v>2</v>
      </c>
      <c r="AG63" s="63">
        <f t="shared" si="3"/>
        <v>0</v>
      </c>
      <c r="AH63" s="59">
        <f t="shared" si="4"/>
        <v>0</v>
      </c>
      <c r="AI63" s="69">
        <f t="shared" si="5"/>
        <v>2</v>
      </c>
    </row>
    <row r="64" spans="1:35" s="11" customFormat="1" ht="27" customHeight="1" x14ac:dyDescent="0.2">
      <c r="A64" s="7" t="s">
        <v>59</v>
      </c>
      <c r="B64" s="7" t="s">
        <v>245</v>
      </c>
      <c r="C64" s="8" t="s">
        <v>664</v>
      </c>
      <c r="D64" s="15">
        <v>1</v>
      </c>
      <c r="E64" s="10"/>
      <c r="F64" s="10"/>
      <c r="G64" s="10"/>
      <c r="H64" s="10"/>
      <c r="I64" s="26">
        <f t="shared" si="0"/>
        <v>1</v>
      </c>
      <c r="J64" s="7" t="s">
        <v>59</v>
      </c>
      <c r="K64" s="7" t="s">
        <v>245</v>
      </c>
      <c r="L64" s="7" t="s">
        <v>894</v>
      </c>
      <c r="M64" s="15">
        <v>1</v>
      </c>
      <c r="N64" s="10"/>
      <c r="O64" s="10"/>
      <c r="P64" s="10"/>
      <c r="Q64" s="25"/>
      <c r="R64" s="31">
        <f t="shared" si="1"/>
        <v>1</v>
      </c>
      <c r="S64" s="7" t="s">
        <v>59</v>
      </c>
      <c r="T64" s="7" t="s">
        <v>245</v>
      </c>
      <c r="U64" s="7" t="s">
        <v>484</v>
      </c>
      <c r="V64" s="15"/>
      <c r="W64" s="10"/>
      <c r="X64" s="10"/>
      <c r="Y64" s="10"/>
      <c r="Z64" s="25">
        <v>1</v>
      </c>
      <c r="AA64" s="39">
        <f t="shared" si="2"/>
        <v>0.5</v>
      </c>
      <c r="AG64" s="63">
        <f t="shared" si="3"/>
        <v>0</v>
      </c>
      <c r="AH64" s="59">
        <f t="shared" si="4"/>
        <v>0</v>
      </c>
      <c r="AI64" s="69">
        <f t="shared" si="5"/>
        <v>0</v>
      </c>
    </row>
    <row r="65" spans="1:35" s="11" customFormat="1" ht="27" customHeight="1" x14ac:dyDescent="0.2">
      <c r="A65" s="7" t="s">
        <v>60</v>
      </c>
      <c r="B65" s="7" t="s">
        <v>246</v>
      </c>
      <c r="C65" s="9" t="s">
        <v>665</v>
      </c>
      <c r="D65" s="16"/>
      <c r="E65" s="10"/>
      <c r="F65" s="10"/>
      <c r="G65" s="10"/>
      <c r="H65" s="10"/>
      <c r="I65" s="26">
        <f t="shared" si="0"/>
        <v>0</v>
      </c>
      <c r="J65" s="7" t="s">
        <v>60</v>
      </c>
      <c r="K65" s="7" t="s">
        <v>246</v>
      </c>
      <c r="L65" s="7" t="s">
        <v>895</v>
      </c>
      <c r="M65" s="16"/>
      <c r="N65" s="10"/>
      <c r="O65" s="10"/>
      <c r="P65" s="10">
        <v>2</v>
      </c>
      <c r="Q65" s="25"/>
      <c r="R65" s="31">
        <f t="shared" si="1"/>
        <v>2</v>
      </c>
      <c r="S65" s="7" t="s">
        <v>60</v>
      </c>
      <c r="T65" s="7" t="s">
        <v>246</v>
      </c>
      <c r="U65" s="7" t="s">
        <v>485</v>
      </c>
      <c r="V65" s="16"/>
      <c r="W65" s="10"/>
      <c r="X65" s="10">
        <v>2</v>
      </c>
      <c r="Y65" s="10"/>
      <c r="Z65" s="25"/>
      <c r="AA65" s="39">
        <f t="shared" si="2"/>
        <v>2</v>
      </c>
      <c r="AG65" s="63">
        <f t="shared" si="3"/>
        <v>0</v>
      </c>
      <c r="AH65" s="59">
        <f t="shared" si="4"/>
        <v>2</v>
      </c>
      <c r="AI65" s="69">
        <f t="shared" si="5"/>
        <v>2</v>
      </c>
    </row>
    <row r="66" spans="1:35" s="12" customFormat="1" ht="27" customHeight="1" x14ac:dyDescent="0.2">
      <c r="A66" s="7" t="s">
        <v>794</v>
      </c>
      <c r="B66" s="7" t="s">
        <v>795</v>
      </c>
      <c r="C66" s="8" t="s">
        <v>824</v>
      </c>
      <c r="D66" s="15"/>
      <c r="E66" s="10"/>
      <c r="F66" s="10"/>
      <c r="G66" s="10">
        <v>1</v>
      </c>
      <c r="H66" s="10"/>
      <c r="I66" s="26">
        <f t="shared" si="0"/>
        <v>1</v>
      </c>
      <c r="J66" s="7" t="s">
        <v>794</v>
      </c>
      <c r="K66" s="7" t="s">
        <v>795</v>
      </c>
      <c r="L66" s="7" t="s">
        <v>896</v>
      </c>
      <c r="M66" s="15"/>
      <c r="N66" s="10"/>
      <c r="O66" s="10"/>
      <c r="P66" s="10">
        <v>1</v>
      </c>
      <c r="Q66" s="25"/>
      <c r="R66" s="31">
        <f t="shared" si="1"/>
        <v>1</v>
      </c>
      <c r="S66" s="7" t="s">
        <v>794</v>
      </c>
      <c r="T66" s="7" t="s">
        <v>795</v>
      </c>
      <c r="U66" s="7" t="s">
        <v>838</v>
      </c>
      <c r="V66" s="15"/>
      <c r="W66" s="10"/>
      <c r="X66" s="10">
        <v>2</v>
      </c>
      <c r="Y66" s="10"/>
      <c r="Z66" s="25"/>
      <c r="AA66" s="39">
        <f t="shared" si="2"/>
        <v>2</v>
      </c>
      <c r="AG66" s="63">
        <f t="shared" si="3"/>
        <v>1</v>
      </c>
      <c r="AH66" s="59">
        <f t="shared" si="4"/>
        <v>1</v>
      </c>
      <c r="AI66" s="69">
        <f t="shared" si="5"/>
        <v>2</v>
      </c>
    </row>
    <row r="67" spans="1:35" s="11" customFormat="1" ht="27" customHeight="1" x14ac:dyDescent="0.2">
      <c r="A67" s="7" t="s">
        <v>61</v>
      </c>
      <c r="B67" s="7" t="s">
        <v>247</v>
      </c>
      <c r="C67" s="8" t="s">
        <v>1010</v>
      </c>
      <c r="D67" s="15"/>
      <c r="E67" s="10"/>
      <c r="F67" s="10"/>
      <c r="G67" s="10"/>
      <c r="H67" s="10">
        <v>1</v>
      </c>
      <c r="I67" s="26">
        <f t="shared" ref="I67:I130" si="6">SUM(D67:G67)+(H67/2)</f>
        <v>0.5</v>
      </c>
      <c r="J67" s="7" t="s">
        <v>61</v>
      </c>
      <c r="K67" s="7" t="s">
        <v>247</v>
      </c>
      <c r="L67" s="7" t="s">
        <v>897</v>
      </c>
      <c r="M67" s="15"/>
      <c r="N67" s="10"/>
      <c r="O67" s="10"/>
      <c r="P67" s="10">
        <v>1</v>
      </c>
      <c r="Q67" s="25"/>
      <c r="R67" s="31">
        <f t="shared" ref="R67:R130" si="7">SUM(M67:P67)+(Q67/2)</f>
        <v>1</v>
      </c>
      <c r="S67" s="7" t="s">
        <v>61</v>
      </c>
      <c r="T67" s="7" t="s">
        <v>247</v>
      </c>
      <c r="U67" s="7" t="s">
        <v>486</v>
      </c>
      <c r="V67" s="15"/>
      <c r="W67" s="10"/>
      <c r="X67" s="10">
        <v>2</v>
      </c>
      <c r="Y67" s="10"/>
      <c r="Z67" s="25"/>
      <c r="AA67" s="39">
        <f t="shared" ref="AA67:AA130" si="8">SUM(V67:Y67)+(Z67/2)</f>
        <v>2</v>
      </c>
      <c r="AG67" s="63">
        <f t="shared" ref="AG67:AG130" si="9">SUM(E67:G67)</f>
        <v>0</v>
      </c>
      <c r="AH67" s="59">
        <f t="shared" ref="AH67:AH130" si="10">SUM(N67:P67)</f>
        <v>1</v>
      </c>
      <c r="AI67" s="69">
        <f t="shared" ref="AI67:AI130" si="11">SUM(W67:Y67)</f>
        <v>2</v>
      </c>
    </row>
    <row r="68" spans="1:35" s="11" customFormat="1" ht="27" customHeight="1" x14ac:dyDescent="0.2">
      <c r="A68" s="7" t="s">
        <v>62</v>
      </c>
      <c r="B68" s="7" t="s">
        <v>248</v>
      </c>
      <c r="C68" s="8" t="s">
        <v>1009</v>
      </c>
      <c r="D68" s="15"/>
      <c r="E68" s="10"/>
      <c r="F68" s="10"/>
      <c r="G68" s="10">
        <v>1</v>
      </c>
      <c r="H68" s="10"/>
      <c r="I68" s="26">
        <f t="shared" si="6"/>
        <v>1</v>
      </c>
      <c r="J68" s="7" t="s">
        <v>62</v>
      </c>
      <c r="K68" s="7" t="s">
        <v>248</v>
      </c>
      <c r="L68" s="7" t="s">
        <v>393</v>
      </c>
      <c r="M68" s="15"/>
      <c r="N68" s="10"/>
      <c r="O68" s="10"/>
      <c r="P68" s="10"/>
      <c r="Q68" s="25"/>
      <c r="R68" s="31">
        <f t="shared" si="7"/>
        <v>0</v>
      </c>
      <c r="S68" s="7" t="s">
        <v>62</v>
      </c>
      <c r="T68" s="7" t="s">
        <v>248</v>
      </c>
      <c r="U68" s="7" t="s">
        <v>487</v>
      </c>
      <c r="V68" s="15"/>
      <c r="W68" s="10"/>
      <c r="X68" s="10"/>
      <c r="Y68" s="10">
        <v>1</v>
      </c>
      <c r="Z68" s="25"/>
      <c r="AA68" s="39">
        <f t="shared" si="8"/>
        <v>1</v>
      </c>
      <c r="AG68" s="63">
        <f t="shared" si="9"/>
        <v>1</v>
      </c>
      <c r="AH68" s="59">
        <f t="shared" si="10"/>
        <v>0</v>
      </c>
      <c r="AI68" s="69">
        <f t="shared" si="11"/>
        <v>1</v>
      </c>
    </row>
    <row r="69" spans="1:35" s="11" customFormat="1" ht="27" customHeight="1" x14ac:dyDescent="0.2">
      <c r="A69" s="7" t="s">
        <v>63</v>
      </c>
      <c r="B69" s="7" t="s">
        <v>249</v>
      </c>
      <c r="C69" s="8" t="s">
        <v>1011</v>
      </c>
      <c r="D69" s="15"/>
      <c r="E69" s="10"/>
      <c r="F69" s="10">
        <v>2</v>
      </c>
      <c r="G69" s="10"/>
      <c r="H69" s="10"/>
      <c r="I69" s="26">
        <f t="shared" si="6"/>
        <v>2</v>
      </c>
      <c r="J69" s="7" t="s">
        <v>63</v>
      </c>
      <c r="K69" s="7" t="s">
        <v>249</v>
      </c>
      <c r="L69" s="7" t="s">
        <v>898</v>
      </c>
      <c r="M69" s="15"/>
      <c r="N69" s="10"/>
      <c r="O69" s="10"/>
      <c r="P69" s="10">
        <v>1</v>
      </c>
      <c r="Q69" s="25"/>
      <c r="R69" s="31">
        <f t="shared" si="7"/>
        <v>1</v>
      </c>
      <c r="S69" s="7" t="s">
        <v>63</v>
      </c>
      <c r="T69" s="7" t="s">
        <v>249</v>
      </c>
      <c r="U69" s="7" t="s">
        <v>488</v>
      </c>
      <c r="V69" s="15"/>
      <c r="W69" s="10"/>
      <c r="X69" s="10"/>
      <c r="Y69" s="10">
        <v>2</v>
      </c>
      <c r="Z69" s="25"/>
      <c r="AA69" s="39">
        <f t="shared" si="8"/>
        <v>2</v>
      </c>
      <c r="AG69" s="63">
        <f t="shared" si="9"/>
        <v>2</v>
      </c>
      <c r="AH69" s="59">
        <f t="shared" si="10"/>
        <v>1</v>
      </c>
      <c r="AI69" s="69">
        <f t="shared" si="11"/>
        <v>2</v>
      </c>
    </row>
    <row r="70" spans="1:35" s="11" customFormat="1" ht="27" customHeight="1" x14ac:dyDescent="0.2">
      <c r="A70" s="7" t="s">
        <v>64</v>
      </c>
      <c r="B70" s="7" t="s">
        <v>250</v>
      </c>
      <c r="C70" s="8" t="s">
        <v>666</v>
      </c>
      <c r="D70" s="15"/>
      <c r="E70" s="10"/>
      <c r="F70" s="10"/>
      <c r="G70" s="10"/>
      <c r="H70" s="10"/>
      <c r="I70" s="26">
        <f t="shared" si="6"/>
        <v>0</v>
      </c>
      <c r="J70" s="7" t="s">
        <v>64</v>
      </c>
      <c r="K70" s="7" t="s">
        <v>250</v>
      </c>
      <c r="L70" s="7" t="s">
        <v>394</v>
      </c>
      <c r="M70" s="15"/>
      <c r="N70" s="10"/>
      <c r="O70" s="10"/>
      <c r="P70" s="10"/>
      <c r="Q70" s="25"/>
      <c r="R70" s="31">
        <f t="shared" si="7"/>
        <v>0</v>
      </c>
      <c r="S70" s="7" t="s">
        <v>64</v>
      </c>
      <c r="T70" s="7" t="s">
        <v>250</v>
      </c>
      <c r="U70" s="7" t="s">
        <v>489</v>
      </c>
      <c r="V70" s="15"/>
      <c r="W70" s="10"/>
      <c r="X70" s="10"/>
      <c r="Y70" s="10">
        <v>2</v>
      </c>
      <c r="Z70" s="25"/>
      <c r="AA70" s="39">
        <f t="shared" si="8"/>
        <v>2</v>
      </c>
      <c r="AG70" s="63">
        <f t="shared" si="9"/>
        <v>0</v>
      </c>
      <c r="AH70" s="59">
        <f t="shared" si="10"/>
        <v>0</v>
      </c>
      <c r="AI70" s="69">
        <f t="shared" si="11"/>
        <v>2</v>
      </c>
    </row>
    <row r="71" spans="1:35" s="11" customFormat="1" ht="27" customHeight="1" x14ac:dyDescent="0.2">
      <c r="A71" s="7" t="s">
        <v>65</v>
      </c>
      <c r="B71" s="7" t="s">
        <v>251</v>
      </c>
      <c r="C71" s="9" t="s">
        <v>1012</v>
      </c>
      <c r="D71" s="16"/>
      <c r="E71" s="10"/>
      <c r="F71" s="10"/>
      <c r="G71" s="10">
        <v>2</v>
      </c>
      <c r="H71" s="10"/>
      <c r="I71" s="26">
        <f t="shared" si="6"/>
        <v>2</v>
      </c>
      <c r="J71" s="7" t="s">
        <v>65</v>
      </c>
      <c r="K71" s="7" t="s">
        <v>251</v>
      </c>
      <c r="L71" s="7" t="s">
        <v>899</v>
      </c>
      <c r="M71" s="16"/>
      <c r="N71" s="10"/>
      <c r="O71" s="10"/>
      <c r="P71" s="10"/>
      <c r="Q71" s="25"/>
      <c r="R71" s="31">
        <f t="shared" si="7"/>
        <v>0</v>
      </c>
      <c r="S71" s="7" t="s">
        <v>65</v>
      </c>
      <c r="T71" s="7" t="s">
        <v>251</v>
      </c>
      <c r="U71" s="7" t="s">
        <v>490</v>
      </c>
      <c r="V71" s="16">
        <v>2</v>
      </c>
      <c r="W71" s="10"/>
      <c r="X71" s="10"/>
      <c r="Y71" s="10"/>
      <c r="Z71" s="25"/>
      <c r="AA71" s="39">
        <f t="shared" si="8"/>
        <v>2</v>
      </c>
      <c r="AG71" s="63">
        <f t="shared" si="9"/>
        <v>2</v>
      </c>
      <c r="AH71" s="59">
        <f t="shared" si="10"/>
        <v>0</v>
      </c>
      <c r="AI71" s="69">
        <f t="shared" si="11"/>
        <v>0</v>
      </c>
    </row>
    <row r="72" spans="1:35" s="11" customFormat="1" ht="27" customHeight="1" x14ac:dyDescent="0.2">
      <c r="A72" s="7" t="s">
        <v>66</v>
      </c>
      <c r="B72" s="7" t="s">
        <v>252</v>
      </c>
      <c r="C72" s="8" t="s">
        <v>667</v>
      </c>
      <c r="D72" s="15">
        <v>2</v>
      </c>
      <c r="E72" s="10"/>
      <c r="F72" s="10"/>
      <c r="G72" s="10"/>
      <c r="H72" s="10"/>
      <c r="I72" s="26">
        <f t="shared" si="6"/>
        <v>2</v>
      </c>
      <c r="J72" s="7" t="s">
        <v>66</v>
      </c>
      <c r="K72" s="7" t="s">
        <v>252</v>
      </c>
      <c r="L72" s="7" t="s">
        <v>900</v>
      </c>
      <c r="M72" s="15"/>
      <c r="N72" s="10"/>
      <c r="O72" s="10">
        <v>2</v>
      </c>
      <c r="P72" s="10"/>
      <c r="Q72" s="25"/>
      <c r="R72" s="31">
        <f t="shared" si="7"/>
        <v>2</v>
      </c>
      <c r="S72" s="7" t="s">
        <v>66</v>
      </c>
      <c r="T72" s="7" t="s">
        <v>252</v>
      </c>
      <c r="U72" s="7" t="s">
        <v>491</v>
      </c>
      <c r="V72" s="15"/>
      <c r="W72" s="10"/>
      <c r="X72" s="10">
        <v>2</v>
      </c>
      <c r="Y72" s="10"/>
      <c r="Z72" s="25"/>
      <c r="AA72" s="39">
        <f t="shared" si="8"/>
        <v>2</v>
      </c>
      <c r="AG72" s="63">
        <f t="shared" si="9"/>
        <v>0</v>
      </c>
      <c r="AH72" s="59">
        <f t="shared" si="10"/>
        <v>2</v>
      </c>
      <c r="AI72" s="69">
        <f t="shared" si="11"/>
        <v>2</v>
      </c>
    </row>
    <row r="73" spans="1:35" s="11" customFormat="1" ht="27" customHeight="1" x14ac:dyDescent="0.2">
      <c r="A73" s="7" t="s">
        <v>67</v>
      </c>
      <c r="B73" s="7" t="s">
        <v>253</v>
      </c>
      <c r="C73" s="8" t="s">
        <v>668</v>
      </c>
      <c r="D73" s="15"/>
      <c r="E73" s="10"/>
      <c r="F73" s="10"/>
      <c r="G73" s="10">
        <v>2</v>
      </c>
      <c r="H73" s="10"/>
      <c r="I73" s="26">
        <f t="shared" si="6"/>
        <v>2</v>
      </c>
      <c r="J73" s="7" t="s">
        <v>67</v>
      </c>
      <c r="K73" s="7" t="s">
        <v>253</v>
      </c>
      <c r="L73" s="7" t="s">
        <v>901</v>
      </c>
      <c r="M73" s="15"/>
      <c r="N73" s="10"/>
      <c r="O73" s="10"/>
      <c r="P73" s="10"/>
      <c r="Q73" s="25"/>
      <c r="R73" s="31">
        <f t="shared" si="7"/>
        <v>0</v>
      </c>
      <c r="S73" s="7" t="s">
        <v>67</v>
      </c>
      <c r="T73" s="7" t="s">
        <v>253</v>
      </c>
      <c r="U73" s="7" t="s">
        <v>492</v>
      </c>
      <c r="V73" s="15"/>
      <c r="W73" s="10"/>
      <c r="X73" s="10">
        <v>2</v>
      </c>
      <c r="Y73" s="10"/>
      <c r="Z73" s="25"/>
      <c r="AA73" s="39">
        <f t="shared" si="8"/>
        <v>2</v>
      </c>
      <c r="AG73" s="63">
        <f t="shared" si="9"/>
        <v>2</v>
      </c>
      <c r="AH73" s="59">
        <f t="shared" si="10"/>
        <v>0</v>
      </c>
      <c r="AI73" s="69">
        <f t="shared" si="11"/>
        <v>2</v>
      </c>
    </row>
    <row r="74" spans="1:35" s="11" customFormat="1" ht="27" customHeight="1" x14ac:dyDescent="0.2">
      <c r="A74" s="7" t="s">
        <v>68</v>
      </c>
      <c r="B74" s="7" t="s">
        <v>254</v>
      </c>
      <c r="C74" s="8" t="s">
        <v>669</v>
      </c>
      <c r="D74" s="15"/>
      <c r="E74" s="10"/>
      <c r="F74" s="10"/>
      <c r="G74" s="10"/>
      <c r="H74" s="10"/>
      <c r="I74" s="26">
        <f t="shared" si="6"/>
        <v>0</v>
      </c>
      <c r="J74" s="7" t="s">
        <v>68</v>
      </c>
      <c r="K74" s="7" t="s">
        <v>254</v>
      </c>
      <c r="L74" s="7" t="s">
        <v>902</v>
      </c>
      <c r="M74" s="15"/>
      <c r="N74" s="10"/>
      <c r="O74" s="10"/>
      <c r="P74" s="10">
        <v>2</v>
      </c>
      <c r="Q74" s="25"/>
      <c r="R74" s="31">
        <f t="shared" si="7"/>
        <v>2</v>
      </c>
      <c r="S74" s="7" t="s">
        <v>68</v>
      </c>
      <c r="T74" s="7" t="s">
        <v>254</v>
      </c>
      <c r="U74" s="7" t="s">
        <v>493</v>
      </c>
      <c r="V74" s="15"/>
      <c r="W74" s="10"/>
      <c r="X74" s="10">
        <v>2</v>
      </c>
      <c r="Y74" s="10"/>
      <c r="Z74" s="25"/>
      <c r="AA74" s="39">
        <f t="shared" si="8"/>
        <v>2</v>
      </c>
      <c r="AG74" s="63">
        <f t="shared" si="9"/>
        <v>0</v>
      </c>
      <c r="AH74" s="59">
        <f t="shared" si="10"/>
        <v>2</v>
      </c>
      <c r="AI74" s="69">
        <f t="shared" si="11"/>
        <v>2</v>
      </c>
    </row>
    <row r="75" spans="1:35" s="11" customFormat="1" ht="27" customHeight="1" x14ac:dyDescent="0.2">
      <c r="A75" s="7" t="s">
        <v>69</v>
      </c>
      <c r="B75" s="7" t="s">
        <v>255</v>
      </c>
      <c r="C75" s="8" t="s">
        <v>670</v>
      </c>
      <c r="D75" s="15"/>
      <c r="E75" s="10"/>
      <c r="F75" s="10"/>
      <c r="G75" s="10"/>
      <c r="H75" s="10"/>
      <c r="I75" s="26">
        <f t="shared" si="6"/>
        <v>0</v>
      </c>
      <c r="J75" s="7" t="s">
        <v>69</v>
      </c>
      <c r="K75" s="7" t="s">
        <v>255</v>
      </c>
      <c r="L75" s="7" t="s">
        <v>903</v>
      </c>
      <c r="M75" s="15"/>
      <c r="N75" s="10"/>
      <c r="O75" s="10"/>
      <c r="P75" s="10"/>
      <c r="Q75" s="25"/>
      <c r="R75" s="31">
        <f t="shared" si="7"/>
        <v>0</v>
      </c>
      <c r="S75" s="7" t="s">
        <v>69</v>
      </c>
      <c r="T75" s="7" t="s">
        <v>255</v>
      </c>
      <c r="U75" s="7" t="s">
        <v>494</v>
      </c>
      <c r="V75" s="15"/>
      <c r="W75" s="10"/>
      <c r="X75" s="10"/>
      <c r="Y75" s="10"/>
      <c r="Z75" s="25"/>
      <c r="AA75" s="39">
        <f t="shared" si="8"/>
        <v>0</v>
      </c>
      <c r="AG75" s="63">
        <f t="shared" si="9"/>
        <v>0</v>
      </c>
      <c r="AH75" s="59">
        <f t="shared" si="10"/>
        <v>0</v>
      </c>
      <c r="AI75" s="69">
        <f t="shared" si="11"/>
        <v>0</v>
      </c>
    </row>
    <row r="76" spans="1:35" s="11" customFormat="1" ht="27" customHeight="1" x14ac:dyDescent="0.2">
      <c r="A76" s="7" t="s">
        <v>70</v>
      </c>
      <c r="B76" s="7" t="s">
        <v>256</v>
      </c>
      <c r="C76" s="8" t="s">
        <v>671</v>
      </c>
      <c r="D76" s="15"/>
      <c r="E76" s="10"/>
      <c r="F76" s="10">
        <v>2</v>
      </c>
      <c r="G76" s="10"/>
      <c r="H76" s="10"/>
      <c r="I76" s="26">
        <f t="shared" si="6"/>
        <v>2</v>
      </c>
      <c r="J76" s="7" t="s">
        <v>70</v>
      </c>
      <c r="K76" s="7" t="s">
        <v>256</v>
      </c>
      <c r="L76" s="7" t="s">
        <v>395</v>
      </c>
      <c r="M76" s="15"/>
      <c r="N76" s="10"/>
      <c r="O76" s="10">
        <v>2</v>
      </c>
      <c r="P76" s="10"/>
      <c r="Q76" s="25"/>
      <c r="R76" s="31">
        <f t="shared" si="7"/>
        <v>2</v>
      </c>
      <c r="S76" s="7" t="s">
        <v>70</v>
      </c>
      <c r="T76" s="7" t="s">
        <v>256</v>
      </c>
      <c r="U76" s="7" t="s">
        <v>495</v>
      </c>
      <c r="V76" s="15"/>
      <c r="W76" s="10"/>
      <c r="X76" s="10">
        <v>2</v>
      </c>
      <c r="Y76" s="10"/>
      <c r="Z76" s="25"/>
      <c r="AA76" s="39">
        <f t="shared" si="8"/>
        <v>2</v>
      </c>
      <c r="AG76" s="63">
        <f t="shared" si="9"/>
        <v>2</v>
      </c>
      <c r="AH76" s="59">
        <f t="shared" si="10"/>
        <v>2</v>
      </c>
      <c r="AI76" s="69">
        <f t="shared" si="11"/>
        <v>2</v>
      </c>
    </row>
    <row r="77" spans="1:35" s="11" customFormat="1" ht="27" customHeight="1" x14ac:dyDescent="0.2">
      <c r="A77" s="7" t="s">
        <v>71</v>
      </c>
      <c r="B77" s="7" t="s">
        <v>257</v>
      </c>
      <c r="C77" s="8" t="s">
        <v>672</v>
      </c>
      <c r="D77" s="15">
        <v>2</v>
      </c>
      <c r="E77" s="10"/>
      <c r="F77" s="10"/>
      <c r="G77" s="10"/>
      <c r="H77" s="10"/>
      <c r="I77" s="26">
        <f t="shared" si="6"/>
        <v>2</v>
      </c>
      <c r="J77" s="7" t="s">
        <v>71</v>
      </c>
      <c r="K77" s="7" t="s">
        <v>257</v>
      </c>
      <c r="L77" s="7" t="s">
        <v>904</v>
      </c>
      <c r="M77" s="15"/>
      <c r="N77" s="10"/>
      <c r="O77" s="10"/>
      <c r="P77" s="10"/>
      <c r="Q77" s="25"/>
      <c r="R77" s="31">
        <f t="shared" si="7"/>
        <v>0</v>
      </c>
      <c r="S77" s="7" t="s">
        <v>71</v>
      </c>
      <c r="T77" s="7" t="s">
        <v>257</v>
      </c>
      <c r="U77" s="7" t="s">
        <v>496</v>
      </c>
      <c r="V77" s="15"/>
      <c r="W77" s="10"/>
      <c r="X77" s="10">
        <v>2</v>
      </c>
      <c r="Y77" s="10"/>
      <c r="Z77" s="25"/>
      <c r="AA77" s="39">
        <f t="shared" si="8"/>
        <v>2</v>
      </c>
      <c r="AG77" s="63">
        <f t="shared" si="9"/>
        <v>0</v>
      </c>
      <c r="AH77" s="59">
        <f t="shared" si="10"/>
        <v>0</v>
      </c>
      <c r="AI77" s="69">
        <f t="shared" si="11"/>
        <v>2</v>
      </c>
    </row>
    <row r="78" spans="1:35" s="11" customFormat="1" ht="27" customHeight="1" x14ac:dyDescent="0.2">
      <c r="A78" s="7" t="s">
        <v>72</v>
      </c>
      <c r="B78" s="7" t="s">
        <v>258</v>
      </c>
      <c r="C78" s="8" t="s">
        <v>673</v>
      </c>
      <c r="D78" s="15"/>
      <c r="E78" s="10"/>
      <c r="F78" s="10"/>
      <c r="G78" s="10"/>
      <c r="H78" s="10"/>
      <c r="I78" s="26">
        <f t="shared" si="6"/>
        <v>0</v>
      </c>
      <c r="J78" s="7" t="s">
        <v>72</v>
      </c>
      <c r="K78" s="7" t="s">
        <v>258</v>
      </c>
      <c r="L78" s="7" t="s">
        <v>905</v>
      </c>
      <c r="M78" s="15"/>
      <c r="N78" s="10"/>
      <c r="O78" s="10"/>
      <c r="P78" s="10"/>
      <c r="Q78" s="25"/>
      <c r="R78" s="31">
        <f t="shared" si="7"/>
        <v>0</v>
      </c>
      <c r="S78" s="7" t="s">
        <v>72</v>
      </c>
      <c r="T78" s="7" t="s">
        <v>258</v>
      </c>
      <c r="U78" s="7" t="s">
        <v>497</v>
      </c>
      <c r="V78" s="15"/>
      <c r="W78" s="10"/>
      <c r="X78" s="10">
        <v>2</v>
      </c>
      <c r="Y78" s="10"/>
      <c r="Z78" s="25"/>
      <c r="AA78" s="39">
        <f t="shared" si="8"/>
        <v>2</v>
      </c>
      <c r="AG78" s="63">
        <f t="shared" si="9"/>
        <v>0</v>
      </c>
      <c r="AH78" s="59">
        <f t="shared" si="10"/>
        <v>0</v>
      </c>
      <c r="AI78" s="69">
        <f t="shared" si="11"/>
        <v>2</v>
      </c>
    </row>
    <row r="79" spans="1:35" s="11" customFormat="1" ht="27" customHeight="1" x14ac:dyDescent="0.2">
      <c r="A79" s="7" t="s">
        <v>73</v>
      </c>
      <c r="B79" s="7" t="s">
        <v>259</v>
      </c>
      <c r="C79" s="8" t="s">
        <v>674</v>
      </c>
      <c r="D79" s="15"/>
      <c r="E79" s="10"/>
      <c r="F79" s="10"/>
      <c r="G79" s="10">
        <v>1</v>
      </c>
      <c r="H79" s="10"/>
      <c r="I79" s="26">
        <f t="shared" si="6"/>
        <v>1</v>
      </c>
      <c r="J79" s="7" t="s">
        <v>73</v>
      </c>
      <c r="K79" s="7" t="s">
        <v>259</v>
      </c>
      <c r="L79" s="7" t="s">
        <v>906</v>
      </c>
      <c r="M79" s="15"/>
      <c r="N79" s="10"/>
      <c r="O79" s="10"/>
      <c r="P79" s="10"/>
      <c r="Q79" s="25"/>
      <c r="R79" s="31">
        <f t="shared" si="7"/>
        <v>0</v>
      </c>
      <c r="S79" s="7" t="s">
        <v>73</v>
      </c>
      <c r="T79" s="7" t="s">
        <v>259</v>
      </c>
      <c r="U79" s="7" t="s">
        <v>498</v>
      </c>
      <c r="V79" s="15"/>
      <c r="W79" s="10"/>
      <c r="X79" s="10"/>
      <c r="Y79" s="10">
        <v>1</v>
      </c>
      <c r="Z79" s="25"/>
      <c r="AA79" s="39">
        <f t="shared" si="8"/>
        <v>1</v>
      </c>
      <c r="AG79" s="63">
        <f t="shared" si="9"/>
        <v>1</v>
      </c>
      <c r="AH79" s="59">
        <f t="shared" si="10"/>
        <v>0</v>
      </c>
      <c r="AI79" s="69">
        <f t="shared" si="11"/>
        <v>1</v>
      </c>
    </row>
    <row r="80" spans="1:35" s="11" customFormat="1" ht="27" customHeight="1" x14ac:dyDescent="0.2">
      <c r="A80" s="7" t="s">
        <v>74</v>
      </c>
      <c r="B80" s="7" t="s">
        <v>260</v>
      </c>
      <c r="C80" s="9" t="s">
        <v>1013</v>
      </c>
      <c r="D80" s="16"/>
      <c r="E80" s="10"/>
      <c r="F80" s="10"/>
      <c r="G80" s="10"/>
      <c r="H80" s="10"/>
      <c r="I80" s="26">
        <f t="shared" si="6"/>
        <v>0</v>
      </c>
      <c r="J80" s="7" t="s">
        <v>74</v>
      </c>
      <c r="K80" s="7" t="s">
        <v>260</v>
      </c>
      <c r="L80" s="7" t="s">
        <v>907</v>
      </c>
      <c r="M80" s="16"/>
      <c r="N80" s="10"/>
      <c r="O80" s="10"/>
      <c r="P80" s="10">
        <v>2</v>
      </c>
      <c r="Q80" s="25"/>
      <c r="R80" s="31">
        <f t="shared" si="7"/>
        <v>2</v>
      </c>
      <c r="S80" s="7" t="s">
        <v>74</v>
      </c>
      <c r="T80" s="7" t="s">
        <v>260</v>
      </c>
      <c r="U80" s="7" t="s">
        <v>499</v>
      </c>
      <c r="V80" s="16"/>
      <c r="W80" s="10"/>
      <c r="X80" s="10"/>
      <c r="Y80" s="10">
        <v>2</v>
      </c>
      <c r="Z80" s="25"/>
      <c r="AA80" s="39">
        <f t="shared" si="8"/>
        <v>2</v>
      </c>
      <c r="AG80" s="63">
        <f t="shared" si="9"/>
        <v>0</v>
      </c>
      <c r="AH80" s="59">
        <f t="shared" si="10"/>
        <v>2</v>
      </c>
      <c r="AI80" s="69">
        <f t="shared" si="11"/>
        <v>2</v>
      </c>
    </row>
    <row r="81" spans="1:35" s="11" customFormat="1" ht="27" customHeight="1" x14ac:dyDescent="0.2">
      <c r="A81" s="7" t="s">
        <v>75</v>
      </c>
      <c r="B81" s="7" t="s">
        <v>261</v>
      </c>
      <c r="C81" s="9" t="s">
        <v>675</v>
      </c>
      <c r="D81" s="16">
        <v>2</v>
      </c>
      <c r="E81" s="10"/>
      <c r="F81" s="10"/>
      <c r="G81" s="10"/>
      <c r="H81" s="10"/>
      <c r="I81" s="26">
        <f t="shared" si="6"/>
        <v>2</v>
      </c>
      <c r="J81" s="7" t="s">
        <v>75</v>
      </c>
      <c r="K81" s="7" t="s">
        <v>261</v>
      </c>
      <c r="L81" s="7" t="s">
        <v>908</v>
      </c>
      <c r="M81" s="16"/>
      <c r="N81" s="10"/>
      <c r="O81" s="10"/>
      <c r="P81" s="10">
        <v>2</v>
      </c>
      <c r="Q81" s="25"/>
      <c r="R81" s="31">
        <f t="shared" si="7"/>
        <v>2</v>
      </c>
      <c r="S81" s="7" t="s">
        <v>75</v>
      </c>
      <c r="T81" s="7" t="s">
        <v>261</v>
      </c>
      <c r="U81" s="7" t="s">
        <v>500</v>
      </c>
      <c r="V81" s="16"/>
      <c r="W81" s="10"/>
      <c r="X81" s="10"/>
      <c r="Y81" s="10">
        <v>2</v>
      </c>
      <c r="Z81" s="25"/>
      <c r="AA81" s="39">
        <f t="shared" si="8"/>
        <v>2</v>
      </c>
      <c r="AG81" s="63">
        <f t="shared" si="9"/>
        <v>0</v>
      </c>
      <c r="AH81" s="59">
        <f t="shared" si="10"/>
        <v>2</v>
      </c>
      <c r="AI81" s="69">
        <f t="shared" si="11"/>
        <v>2</v>
      </c>
    </row>
    <row r="82" spans="1:35" s="11" customFormat="1" ht="27" customHeight="1" x14ac:dyDescent="0.2">
      <c r="A82" s="7" t="s">
        <v>76</v>
      </c>
      <c r="B82" s="7" t="s">
        <v>262</v>
      </c>
      <c r="C82" s="8" t="s">
        <v>676</v>
      </c>
      <c r="D82" s="15"/>
      <c r="E82" s="10"/>
      <c r="F82" s="10">
        <v>2</v>
      </c>
      <c r="G82" s="10"/>
      <c r="H82" s="10"/>
      <c r="I82" s="26">
        <f t="shared" si="6"/>
        <v>2</v>
      </c>
      <c r="J82" s="7" t="s">
        <v>76</v>
      </c>
      <c r="K82" s="7" t="s">
        <v>262</v>
      </c>
      <c r="L82" s="7" t="s">
        <v>909</v>
      </c>
      <c r="M82" s="15"/>
      <c r="N82" s="10"/>
      <c r="O82" s="10"/>
      <c r="P82" s="10"/>
      <c r="Q82" s="25"/>
      <c r="R82" s="31">
        <f t="shared" si="7"/>
        <v>0</v>
      </c>
      <c r="S82" s="7" t="s">
        <v>76</v>
      </c>
      <c r="T82" s="7" t="s">
        <v>262</v>
      </c>
      <c r="U82" s="7" t="s">
        <v>501</v>
      </c>
      <c r="V82" s="15">
        <v>2</v>
      </c>
      <c r="W82" s="10"/>
      <c r="X82" s="10"/>
      <c r="Y82" s="10"/>
      <c r="Z82" s="25"/>
      <c r="AA82" s="39">
        <f t="shared" si="8"/>
        <v>2</v>
      </c>
      <c r="AG82" s="63">
        <f t="shared" si="9"/>
        <v>2</v>
      </c>
      <c r="AH82" s="59">
        <f t="shared" si="10"/>
        <v>0</v>
      </c>
      <c r="AI82" s="69">
        <f t="shared" si="11"/>
        <v>0</v>
      </c>
    </row>
    <row r="83" spans="1:35" s="11" customFormat="1" ht="27" customHeight="1" x14ac:dyDescent="0.2">
      <c r="A83" s="7" t="s">
        <v>77</v>
      </c>
      <c r="B83" s="7" t="s">
        <v>263</v>
      </c>
      <c r="C83" s="9" t="s">
        <v>677</v>
      </c>
      <c r="D83" s="16"/>
      <c r="E83" s="10"/>
      <c r="F83" s="10"/>
      <c r="G83" s="10"/>
      <c r="H83" s="10">
        <v>2</v>
      </c>
      <c r="I83" s="26">
        <f t="shared" si="6"/>
        <v>1</v>
      </c>
      <c r="J83" s="7" t="s">
        <v>77</v>
      </c>
      <c r="K83" s="7" t="s">
        <v>263</v>
      </c>
      <c r="L83" s="7" t="s">
        <v>910</v>
      </c>
      <c r="M83" s="16"/>
      <c r="N83" s="10"/>
      <c r="O83" s="10"/>
      <c r="P83" s="10"/>
      <c r="Q83" s="25"/>
      <c r="R83" s="31">
        <f t="shared" si="7"/>
        <v>0</v>
      </c>
      <c r="S83" s="7" t="s">
        <v>77</v>
      </c>
      <c r="T83" s="7" t="s">
        <v>263</v>
      </c>
      <c r="U83" s="7" t="s">
        <v>502</v>
      </c>
      <c r="V83" s="16"/>
      <c r="W83" s="10"/>
      <c r="X83" s="10">
        <v>2</v>
      </c>
      <c r="Y83" s="10"/>
      <c r="Z83" s="25"/>
      <c r="AA83" s="39">
        <f t="shared" si="8"/>
        <v>2</v>
      </c>
      <c r="AG83" s="63">
        <f t="shared" si="9"/>
        <v>0</v>
      </c>
      <c r="AH83" s="59">
        <f t="shared" si="10"/>
        <v>0</v>
      </c>
      <c r="AI83" s="69">
        <f t="shared" si="11"/>
        <v>2</v>
      </c>
    </row>
    <row r="84" spans="1:35" s="11" customFormat="1" ht="27" customHeight="1" x14ac:dyDescent="0.2">
      <c r="A84" s="7" t="s">
        <v>78</v>
      </c>
      <c r="B84" s="7" t="s">
        <v>264</v>
      </c>
      <c r="C84" s="8" t="s">
        <v>678</v>
      </c>
      <c r="D84" s="15"/>
      <c r="E84" s="10"/>
      <c r="F84" s="10"/>
      <c r="G84" s="10">
        <v>1</v>
      </c>
      <c r="H84" s="10"/>
      <c r="I84" s="26">
        <f t="shared" si="6"/>
        <v>1</v>
      </c>
      <c r="J84" s="7" t="s">
        <v>78</v>
      </c>
      <c r="K84" s="7" t="s">
        <v>264</v>
      </c>
      <c r="L84" s="7" t="s">
        <v>911</v>
      </c>
      <c r="M84" s="15"/>
      <c r="N84" s="10"/>
      <c r="O84" s="10"/>
      <c r="P84" s="10"/>
      <c r="Q84" s="25"/>
      <c r="R84" s="31">
        <f t="shared" si="7"/>
        <v>0</v>
      </c>
      <c r="S84" s="7" t="s">
        <v>78</v>
      </c>
      <c r="T84" s="7" t="s">
        <v>264</v>
      </c>
      <c r="U84" s="7" t="s">
        <v>503</v>
      </c>
      <c r="V84" s="15"/>
      <c r="W84" s="10"/>
      <c r="X84" s="10"/>
      <c r="Y84" s="10"/>
      <c r="Z84" s="25"/>
      <c r="AA84" s="39">
        <f t="shared" si="8"/>
        <v>0</v>
      </c>
      <c r="AG84" s="63">
        <f t="shared" si="9"/>
        <v>1</v>
      </c>
      <c r="AH84" s="59">
        <f t="shared" si="10"/>
        <v>0</v>
      </c>
      <c r="AI84" s="69">
        <f t="shared" si="11"/>
        <v>0</v>
      </c>
    </row>
    <row r="85" spans="1:35" s="11" customFormat="1" ht="27" customHeight="1" x14ac:dyDescent="0.2">
      <c r="A85" s="7" t="s">
        <v>79</v>
      </c>
      <c r="B85" s="7" t="s">
        <v>265</v>
      </c>
      <c r="C85" s="9" t="s">
        <v>679</v>
      </c>
      <c r="D85" s="16"/>
      <c r="E85" s="10"/>
      <c r="F85" s="10"/>
      <c r="G85" s="10"/>
      <c r="H85" s="10">
        <v>1</v>
      </c>
      <c r="I85" s="26">
        <f t="shared" si="6"/>
        <v>0.5</v>
      </c>
      <c r="J85" s="7" t="s">
        <v>79</v>
      </c>
      <c r="K85" s="7" t="s">
        <v>265</v>
      </c>
      <c r="L85" s="7" t="s">
        <v>912</v>
      </c>
      <c r="M85" s="16"/>
      <c r="N85" s="10"/>
      <c r="O85" s="10"/>
      <c r="P85" s="10"/>
      <c r="Q85" s="25"/>
      <c r="R85" s="31">
        <f t="shared" si="7"/>
        <v>0</v>
      </c>
      <c r="S85" s="7" t="s">
        <v>79</v>
      </c>
      <c r="T85" s="7" t="s">
        <v>265</v>
      </c>
      <c r="U85" s="7" t="s">
        <v>504</v>
      </c>
      <c r="V85" s="16"/>
      <c r="W85" s="10"/>
      <c r="X85" s="10"/>
      <c r="Y85" s="10"/>
      <c r="Z85" s="25"/>
      <c r="AA85" s="39">
        <f t="shared" si="8"/>
        <v>0</v>
      </c>
      <c r="AG85" s="63">
        <f t="shared" si="9"/>
        <v>0</v>
      </c>
      <c r="AH85" s="59">
        <f t="shared" si="10"/>
        <v>0</v>
      </c>
      <c r="AI85" s="69">
        <f t="shared" si="11"/>
        <v>0</v>
      </c>
    </row>
    <row r="86" spans="1:35" s="11" customFormat="1" ht="27" customHeight="1" x14ac:dyDescent="0.2">
      <c r="A86" s="7" t="s">
        <v>80</v>
      </c>
      <c r="B86" s="7" t="s">
        <v>266</v>
      </c>
      <c r="C86" s="8" t="s">
        <v>680</v>
      </c>
      <c r="D86" s="15"/>
      <c r="E86" s="10"/>
      <c r="F86" s="10"/>
      <c r="G86" s="10"/>
      <c r="H86" s="10"/>
      <c r="I86" s="26">
        <f t="shared" si="6"/>
        <v>0</v>
      </c>
      <c r="J86" s="7" t="s">
        <v>80</v>
      </c>
      <c r="K86" s="7" t="s">
        <v>266</v>
      </c>
      <c r="L86" s="7" t="s">
        <v>913</v>
      </c>
      <c r="M86" s="15"/>
      <c r="N86" s="10"/>
      <c r="O86" s="10"/>
      <c r="P86" s="10"/>
      <c r="Q86" s="25"/>
      <c r="R86" s="31">
        <f t="shared" si="7"/>
        <v>0</v>
      </c>
      <c r="S86" s="7" t="s">
        <v>80</v>
      </c>
      <c r="T86" s="7" t="s">
        <v>266</v>
      </c>
      <c r="U86" s="7" t="s">
        <v>505</v>
      </c>
      <c r="V86" s="15"/>
      <c r="W86" s="10"/>
      <c r="X86" s="10"/>
      <c r="Y86" s="10"/>
      <c r="Z86" s="25"/>
      <c r="AA86" s="39">
        <f t="shared" si="8"/>
        <v>0</v>
      </c>
      <c r="AG86" s="63">
        <f t="shared" si="9"/>
        <v>0</v>
      </c>
      <c r="AH86" s="59">
        <f t="shared" si="10"/>
        <v>0</v>
      </c>
      <c r="AI86" s="69">
        <f t="shared" si="11"/>
        <v>0</v>
      </c>
    </row>
    <row r="87" spans="1:35" s="11" customFormat="1" ht="27" customHeight="1" x14ac:dyDescent="0.2">
      <c r="A87" s="7" t="s">
        <v>81</v>
      </c>
      <c r="B87" s="7" t="s">
        <v>267</v>
      </c>
      <c r="C87" s="8" t="s">
        <v>681</v>
      </c>
      <c r="D87" s="15"/>
      <c r="E87" s="10"/>
      <c r="F87" s="10"/>
      <c r="G87" s="10"/>
      <c r="H87" s="10">
        <v>1</v>
      </c>
      <c r="I87" s="26">
        <f t="shared" si="6"/>
        <v>0.5</v>
      </c>
      <c r="J87" s="7" t="s">
        <v>81</v>
      </c>
      <c r="K87" s="7" t="s">
        <v>267</v>
      </c>
      <c r="L87" s="7" t="s">
        <v>396</v>
      </c>
      <c r="M87" s="15"/>
      <c r="N87" s="10"/>
      <c r="O87" s="10"/>
      <c r="P87" s="10"/>
      <c r="Q87" s="25"/>
      <c r="R87" s="31">
        <f t="shared" si="7"/>
        <v>0</v>
      </c>
      <c r="S87" s="7" t="s">
        <v>81</v>
      </c>
      <c r="T87" s="7" t="s">
        <v>267</v>
      </c>
      <c r="U87" s="7" t="s">
        <v>506</v>
      </c>
      <c r="V87" s="15"/>
      <c r="W87" s="10"/>
      <c r="X87" s="10"/>
      <c r="Y87" s="10"/>
      <c r="Z87" s="25"/>
      <c r="AA87" s="39">
        <f t="shared" si="8"/>
        <v>0</v>
      </c>
      <c r="AG87" s="63">
        <f t="shared" si="9"/>
        <v>0</v>
      </c>
      <c r="AH87" s="59">
        <f t="shared" si="10"/>
        <v>0</v>
      </c>
      <c r="AI87" s="69">
        <f t="shared" si="11"/>
        <v>0</v>
      </c>
    </row>
    <row r="88" spans="1:35" s="11" customFormat="1" ht="27" customHeight="1" x14ac:dyDescent="0.2">
      <c r="A88" s="7" t="s">
        <v>82</v>
      </c>
      <c r="B88" s="7" t="s">
        <v>268</v>
      </c>
      <c r="C88" s="9" t="s">
        <v>682</v>
      </c>
      <c r="D88" s="16"/>
      <c r="E88" s="10"/>
      <c r="F88" s="10"/>
      <c r="G88" s="10"/>
      <c r="H88" s="10">
        <v>2</v>
      </c>
      <c r="I88" s="26">
        <f t="shared" si="6"/>
        <v>1</v>
      </c>
      <c r="J88" s="7" t="s">
        <v>82</v>
      </c>
      <c r="K88" s="7" t="s">
        <v>268</v>
      </c>
      <c r="L88" s="7" t="s">
        <v>914</v>
      </c>
      <c r="M88" s="16"/>
      <c r="N88" s="10"/>
      <c r="O88" s="10"/>
      <c r="P88" s="10"/>
      <c r="Q88" s="25"/>
      <c r="R88" s="31">
        <f t="shared" si="7"/>
        <v>0</v>
      </c>
      <c r="S88" s="7" t="s">
        <v>82</v>
      </c>
      <c r="T88" s="7" t="s">
        <v>268</v>
      </c>
      <c r="U88" s="7" t="s">
        <v>507</v>
      </c>
      <c r="V88" s="16"/>
      <c r="W88" s="10"/>
      <c r="X88" s="10"/>
      <c r="Y88" s="10"/>
      <c r="Z88" s="25"/>
      <c r="AA88" s="39">
        <f t="shared" si="8"/>
        <v>0</v>
      </c>
      <c r="AG88" s="63">
        <f t="shared" si="9"/>
        <v>0</v>
      </c>
      <c r="AH88" s="59">
        <f t="shared" si="10"/>
        <v>0</v>
      </c>
      <c r="AI88" s="69">
        <f t="shared" si="11"/>
        <v>0</v>
      </c>
    </row>
    <row r="89" spans="1:35" s="11" customFormat="1" ht="27" customHeight="1" x14ac:dyDescent="0.2">
      <c r="A89" s="7" t="s">
        <v>83</v>
      </c>
      <c r="B89" s="7" t="s">
        <v>269</v>
      </c>
      <c r="C89" s="8" t="s">
        <v>683</v>
      </c>
      <c r="D89" s="15"/>
      <c r="E89" s="10"/>
      <c r="F89" s="10"/>
      <c r="G89" s="10"/>
      <c r="H89" s="10">
        <v>1</v>
      </c>
      <c r="I89" s="26">
        <f t="shared" si="6"/>
        <v>0.5</v>
      </c>
      <c r="J89" s="7" t="s">
        <v>83</v>
      </c>
      <c r="K89" s="7" t="s">
        <v>269</v>
      </c>
      <c r="L89" s="7" t="s">
        <v>915</v>
      </c>
      <c r="M89" s="15"/>
      <c r="N89" s="10"/>
      <c r="O89" s="10"/>
      <c r="P89" s="10"/>
      <c r="Q89" s="25"/>
      <c r="R89" s="31">
        <f t="shared" si="7"/>
        <v>0</v>
      </c>
      <c r="S89" s="7" t="s">
        <v>83</v>
      </c>
      <c r="T89" s="7" t="s">
        <v>269</v>
      </c>
      <c r="U89" s="7" t="s">
        <v>508</v>
      </c>
      <c r="V89" s="15"/>
      <c r="W89" s="10"/>
      <c r="X89" s="10"/>
      <c r="Y89" s="10"/>
      <c r="Z89" s="25"/>
      <c r="AA89" s="39">
        <f t="shared" si="8"/>
        <v>0</v>
      </c>
      <c r="AG89" s="63">
        <f t="shared" si="9"/>
        <v>0</v>
      </c>
      <c r="AH89" s="59">
        <f t="shared" si="10"/>
        <v>0</v>
      </c>
      <c r="AI89" s="69">
        <f t="shared" si="11"/>
        <v>0</v>
      </c>
    </row>
    <row r="90" spans="1:35" s="11" customFormat="1" ht="27" customHeight="1" x14ac:dyDescent="0.2">
      <c r="A90" s="7" t="s">
        <v>84</v>
      </c>
      <c r="B90" s="7" t="s">
        <v>270</v>
      </c>
      <c r="C90" s="8" t="s">
        <v>684</v>
      </c>
      <c r="D90" s="15"/>
      <c r="E90" s="10"/>
      <c r="F90" s="10"/>
      <c r="G90" s="10">
        <v>2</v>
      </c>
      <c r="H90" s="10"/>
      <c r="I90" s="26">
        <f t="shared" si="6"/>
        <v>2</v>
      </c>
      <c r="J90" s="7" t="s">
        <v>84</v>
      </c>
      <c r="K90" s="7" t="s">
        <v>270</v>
      </c>
      <c r="L90" s="7" t="s">
        <v>916</v>
      </c>
      <c r="M90" s="15"/>
      <c r="N90" s="10"/>
      <c r="O90" s="10"/>
      <c r="P90" s="10"/>
      <c r="Q90" s="25"/>
      <c r="R90" s="31">
        <f t="shared" si="7"/>
        <v>0</v>
      </c>
      <c r="S90" s="7" t="s">
        <v>84</v>
      </c>
      <c r="T90" s="7" t="s">
        <v>270</v>
      </c>
      <c r="U90" s="7" t="s">
        <v>509</v>
      </c>
      <c r="V90" s="15"/>
      <c r="W90" s="10"/>
      <c r="X90" s="10"/>
      <c r="Y90" s="10"/>
      <c r="Z90" s="25"/>
      <c r="AA90" s="39">
        <f t="shared" si="8"/>
        <v>0</v>
      </c>
      <c r="AG90" s="63">
        <f t="shared" si="9"/>
        <v>2</v>
      </c>
      <c r="AH90" s="59">
        <f t="shared" si="10"/>
        <v>0</v>
      </c>
      <c r="AI90" s="69">
        <f t="shared" si="11"/>
        <v>0</v>
      </c>
    </row>
    <row r="91" spans="1:35" s="11" customFormat="1" ht="27" customHeight="1" x14ac:dyDescent="0.2">
      <c r="A91" s="7" t="s">
        <v>85</v>
      </c>
      <c r="B91" s="7" t="s">
        <v>271</v>
      </c>
      <c r="C91" s="8" t="s">
        <v>685</v>
      </c>
      <c r="D91" s="15"/>
      <c r="E91" s="10"/>
      <c r="F91" s="10">
        <v>2</v>
      </c>
      <c r="G91" s="10"/>
      <c r="H91" s="10"/>
      <c r="I91" s="26">
        <f t="shared" si="6"/>
        <v>2</v>
      </c>
      <c r="J91" s="7" t="s">
        <v>85</v>
      </c>
      <c r="K91" s="7" t="s">
        <v>271</v>
      </c>
      <c r="L91" s="7" t="s">
        <v>917</v>
      </c>
      <c r="M91" s="15"/>
      <c r="N91" s="10"/>
      <c r="O91" s="10"/>
      <c r="P91" s="10"/>
      <c r="Q91" s="25"/>
      <c r="R91" s="31">
        <f t="shared" si="7"/>
        <v>0</v>
      </c>
      <c r="S91" s="7" t="s">
        <v>85</v>
      </c>
      <c r="T91" s="7" t="s">
        <v>271</v>
      </c>
      <c r="U91" s="7" t="s">
        <v>510</v>
      </c>
      <c r="V91" s="15"/>
      <c r="W91" s="10"/>
      <c r="X91" s="10"/>
      <c r="Y91" s="10"/>
      <c r="Z91" s="25"/>
      <c r="AA91" s="39">
        <f t="shared" si="8"/>
        <v>0</v>
      </c>
      <c r="AG91" s="63">
        <f t="shared" si="9"/>
        <v>2</v>
      </c>
      <c r="AH91" s="59">
        <f t="shared" si="10"/>
        <v>0</v>
      </c>
      <c r="AI91" s="69">
        <f t="shared" si="11"/>
        <v>0</v>
      </c>
    </row>
    <row r="92" spans="1:35" s="11" customFormat="1" ht="27" customHeight="1" x14ac:dyDescent="0.2">
      <c r="A92" s="7" t="s">
        <v>86</v>
      </c>
      <c r="B92" s="7" t="s">
        <v>272</v>
      </c>
      <c r="C92" s="8" t="s">
        <v>1014</v>
      </c>
      <c r="D92" s="15"/>
      <c r="E92" s="10"/>
      <c r="F92" s="10">
        <v>2</v>
      </c>
      <c r="G92" s="10"/>
      <c r="H92" s="10"/>
      <c r="I92" s="26">
        <f t="shared" si="6"/>
        <v>2</v>
      </c>
      <c r="J92" s="7" t="s">
        <v>86</v>
      </c>
      <c r="K92" s="7" t="s">
        <v>272</v>
      </c>
      <c r="L92" s="7" t="s">
        <v>397</v>
      </c>
      <c r="M92" s="15"/>
      <c r="N92" s="10"/>
      <c r="O92" s="10"/>
      <c r="P92" s="10"/>
      <c r="Q92" s="25"/>
      <c r="R92" s="31">
        <f t="shared" si="7"/>
        <v>0</v>
      </c>
      <c r="S92" s="7" t="s">
        <v>86</v>
      </c>
      <c r="T92" s="7" t="s">
        <v>272</v>
      </c>
      <c r="U92" s="7" t="s">
        <v>511</v>
      </c>
      <c r="V92" s="15"/>
      <c r="W92" s="10"/>
      <c r="X92" s="10"/>
      <c r="Y92" s="10"/>
      <c r="Z92" s="25"/>
      <c r="AA92" s="39">
        <f t="shared" si="8"/>
        <v>0</v>
      </c>
      <c r="AG92" s="63">
        <f t="shared" si="9"/>
        <v>2</v>
      </c>
      <c r="AH92" s="59">
        <f t="shared" si="10"/>
        <v>0</v>
      </c>
      <c r="AI92" s="69">
        <f t="shared" si="11"/>
        <v>0</v>
      </c>
    </row>
    <row r="93" spans="1:35" s="11" customFormat="1" ht="27" customHeight="1" x14ac:dyDescent="0.2">
      <c r="A93" s="7" t="s">
        <v>87</v>
      </c>
      <c r="B93" s="7" t="s">
        <v>273</v>
      </c>
      <c r="C93" s="8" t="s">
        <v>686</v>
      </c>
      <c r="D93" s="15"/>
      <c r="E93" s="10"/>
      <c r="F93" s="10">
        <v>2</v>
      </c>
      <c r="G93" s="10"/>
      <c r="H93" s="10"/>
      <c r="I93" s="26">
        <f t="shared" si="6"/>
        <v>2</v>
      </c>
      <c r="J93" s="7" t="s">
        <v>87</v>
      </c>
      <c r="K93" s="7" t="s">
        <v>273</v>
      </c>
      <c r="L93" s="7" t="s">
        <v>918</v>
      </c>
      <c r="M93" s="15"/>
      <c r="N93" s="10"/>
      <c r="O93" s="10"/>
      <c r="P93" s="10"/>
      <c r="Q93" s="25"/>
      <c r="R93" s="31">
        <f t="shared" si="7"/>
        <v>0</v>
      </c>
      <c r="S93" s="7" t="s">
        <v>87</v>
      </c>
      <c r="T93" s="7" t="s">
        <v>273</v>
      </c>
      <c r="U93" s="7" t="s">
        <v>512</v>
      </c>
      <c r="V93" s="15"/>
      <c r="W93" s="10"/>
      <c r="X93" s="10"/>
      <c r="Y93" s="10"/>
      <c r="Z93" s="25"/>
      <c r="AA93" s="39">
        <f t="shared" si="8"/>
        <v>0</v>
      </c>
      <c r="AG93" s="63">
        <f t="shared" si="9"/>
        <v>2</v>
      </c>
      <c r="AH93" s="59">
        <f t="shared" si="10"/>
        <v>0</v>
      </c>
      <c r="AI93" s="69">
        <f t="shared" si="11"/>
        <v>0</v>
      </c>
    </row>
    <row r="94" spans="1:35" s="11" customFormat="1" ht="27" customHeight="1" x14ac:dyDescent="0.2">
      <c r="A94" s="7" t="s">
        <v>88</v>
      </c>
      <c r="B94" s="7" t="s">
        <v>274</v>
      </c>
      <c r="C94" s="9" t="s">
        <v>687</v>
      </c>
      <c r="D94" s="16"/>
      <c r="E94" s="10"/>
      <c r="F94" s="10"/>
      <c r="G94" s="10"/>
      <c r="H94" s="10">
        <v>1</v>
      </c>
      <c r="I94" s="26">
        <f t="shared" si="6"/>
        <v>0.5</v>
      </c>
      <c r="J94" s="7" t="s">
        <v>88</v>
      </c>
      <c r="K94" s="7" t="s">
        <v>274</v>
      </c>
      <c r="L94" s="7" t="s">
        <v>919</v>
      </c>
      <c r="M94" s="16">
        <v>2</v>
      </c>
      <c r="N94" s="10"/>
      <c r="O94" s="10"/>
      <c r="P94" s="10"/>
      <c r="Q94" s="25"/>
      <c r="R94" s="31">
        <f t="shared" si="7"/>
        <v>2</v>
      </c>
      <c r="S94" s="7" t="s">
        <v>88</v>
      </c>
      <c r="T94" s="7" t="s">
        <v>274</v>
      </c>
      <c r="U94" s="7" t="s">
        <v>513</v>
      </c>
      <c r="V94" s="16"/>
      <c r="W94" s="10"/>
      <c r="X94" s="10">
        <v>2</v>
      </c>
      <c r="Y94" s="10"/>
      <c r="Z94" s="25"/>
      <c r="AA94" s="39">
        <f t="shared" si="8"/>
        <v>2</v>
      </c>
      <c r="AG94" s="63">
        <f t="shared" si="9"/>
        <v>0</v>
      </c>
      <c r="AH94" s="59">
        <f t="shared" si="10"/>
        <v>0</v>
      </c>
      <c r="AI94" s="69">
        <f t="shared" si="11"/>
        <v>2</v>
      </c>
    </row>
    <row r="95" spans="1:35" s="11" customFormat="1" ht="27" customHeight="1" x14ac:dyDescent="0.2">
      <c r="A95" s="7" t="s">
        <v>89</v>
      </c>
      <c r="B95" s="7" t="s">
        <v>275</v>
      </c>
      <c r="C95" s="8" t="s">
        <v>688</v>
      </c>
      <c r="D95" s="15">
        <v>1</v>
      </c>
      <c r="E95" s="10"/>
      <c r="F95" s="10"/>
      <c r="G95" s="10"/>
      <c r="H95" s="10"/>
      <c r="I95" s="26">
        <f t="shared" si="6"/>
        <v>1</v>
      </c>
      <c r="J95" s="7" t="s">
        <v>89</v>
      </c>
      <c r="K95" s="7" t="s">
        <v>275</v>
      </c>
      <c r="L95" s="7" t="s">
        <v>398</v>
      </c>
      <c r="M95" s="15"/>
      <c r="N95" s="10"/>
      <c r="O95" s="10">
        <v>2</v>
      </c>
      <c r="P95" s="10"/>
      <c r="Q95" s="25"/>
      <c r="R95" s="31">
        <f t="shared" si="7"/>
        <v>2</v>
      </c>
      <c r="S95" s="7" t="s">
        <v>89</v>
      </c>
      <c r="T95" s="7" t="s">
        <v>275</v>
      </c>
      <c r="U95" s="7" t="s">
        <v>514</v>
      </c>
      <c r="V95" s="15"/>
      <c r="W95" s="10"/>
      <c r="X95" s="10">
        <v>2</v>
      </c>
      <c r="Y95" s="10"/>
      <c r="Z95" s="25"/>
      <c r="AA95" s="39">
        <f t="shared" si="8"/>
        <v>2</v>
      </c>
      <c r="AG95" s="63">
        <f t="shared" si="9"/>
        <v>0</v>
      </c>
      <c r="AH95" s="59">
        <f t="shared" si="10"/>
        <v>2</v>
      </c>
      <c r="AI95" s="69">
        <f t="shared" si="11"/>
        <v>2</v>
      </c>
    </row>
    <row r="96" spans="1:35" s="11" customFormat="1" ht="27" customHeight="1" x14ac:dyDescent="0.2">
      <c r="A96" s="7" t="s">
        <v>90</v>
      </c>
      <c r="B96" s="7" t="s">
        <v>276</v>
      </c>
      <c r="C96" s="8" t="s">
        <v>1015</v>
      </c>
      <c r="D96" s="15"/>
      <c r="E96" s="10"/>
      <c r="F96" s="10"/>
      <c r="G96" s="10">
        <v>1</v>
      </c>
      <c r="H96" s="10"/>
      <c r="I96" s="26">
        <f t="shared" si="6"/>
        <v>1</v>
      </c>
      <c r="J96" s="7" t="s">
        <v>90</v>
      </c>
      <c r="K96" s="7" t="s">
        <v>276</v>
      </c>
      <c r="L96" s="7" t="s">
        <v>920</v>
      </c>
      <c r="M96" s="15"/>
      <c r="N96" s="10"/>
      <c r="O96" s="10"/>
      <c r="P96" s="10">
        <v>2</v>
      </c>
      <c r="Q96" s="25"/>
      <c r="R96" s="31">
        <f t="shared" si="7"/>
        <v>2</v>
      </c>
      <c r="S96" s="7" t="s">
        <v>90</v>
      </c>
      <c r="T96" s="7" t="s">
        <v>276</v>
      </c>
      <c r="U96" s="7" t="s">
        <v>515</v>
      </c>
      <c r="V96" s="15"/>
      <c r="W96" s="10"/>
      <c r="X96" s="10">
        <v>2</v>
      </c>
      <c r="Y96" s="10"/>
      <c r="Z96" s="25"/>
      <c r="AA96" s="39">
        <f t="shared" si="8"/>
        <v>2</v>
      </c>
      <c r="AG96" s="63">
        <f t="shared" si="9"/>
        <v>1</v>
      </c>
      <c r="AH96" s="59">
        <f t="shared" si="10"/>
        <v>2</v>
      </c>
      <c r="AI96" s="69">
        <f t="shared" si="11"/>
        <v>2</v>
      </c>
    </row>
    <row r="97" spans="1:35" s="11" customFormat="1" ht="27" customHeight="1" x14ac:dyDescent="0.2">
      <c r="A97" s="7" t="s">
        <v>91</v>
      </c>
      <c r="B97" s="7" t="s">
        <v>277</v>
      </c>
      <c r="C97" s="9" t="s">
        <v>1016</v>
      </c>
      <c r="D97" s="16"/>
      <c r="E97" s="10"/>
      <c r="F97" s="10"/>
      <c r="G97" s="10"/>
      <c r="H97" s="10">
        <v>1</v>
      </c>
      <c r="I97" s="26">
        <f t="shared" si="6"/>
        <v>0.5</v>
      </c>
      <c r="J97" s="7" t="s">
        <v>91</v>
      </c>
      <c r="K97" s="7" t="s">
        <v>277</v>
      </c>
      <c r="L97" s="7" t="s">
        <v>399</v>
      </c>
      <c r="M97" s="16"/>
      <c r="N97" s="10"/>
      <c r="O97" s="10"/>
      <c r="P97" s="10"/>
      <c r="Q97" s="25"/>
      <c r="R97" s="31">
        <f t="shared" si="7"/>
        <v>0</v>
      </c>
      <c r="S97" s="7" t="s">
        <v>91</v>
      </c>
      <c r="T97" s="7" t="s">
        <v>277</v>
      </c>
      <c r="U97" s="7" t="s">
        <v>516</v>
      </c>
      <c r="V97" s="16"/>
      <c r="W97" s="10"/>
      <c r="X97" s="10"/>
      <c r="Y97" s="10"/>
      <c r="Z97" s="25"/>
      <c r="AA97" s="39">
        <f t="shared" si="8"/>
        <v>0</v>
      </c>
      <c r="AG97" s="63">
        <f t="shared" si="9"/>
        <v>0</v>
      </c>
      <c r="AH97" s="59">
        <f t="shared" si="10"/>
        <v>0</v>
      </c>
      <c r="AI97" s="69">
        <f t="shared" si="11"/>
        <v>0</v>
      </c>
    </row>
    <row r="98" spans="1:35" s="11" customFormat="1" ht="27" customHeight="1" x14ac:dyDescent="0.2">
      <c r="A98" s="7" t="s">
        <v>92</v>
      </c>
      <c r="B98" s="7" t="s">
        <v>278</v>
      </c>
      <c r="C98" s="8" t="s">
        <v>1017</v>
      </c>
      <c r="D98" s="15"/>
      <c r="E98" s="10"/>
      <c r="F98" s="10">
        <v>2</v>
      </c>
      <c r="G98" s="10"/>
      <c r="H98" s="10"/>
      <c r="I98" s="26">
        <f t="shared" si="6"/>
        <v>2</v>
      </c>
      <c r="J98" s="7" t="s">
        <v>92</v>
      </c>
      <c r="K98" s="7" t="s">
        <v>278</v>
      </c>
      <c r="L98" s="7" t="s">
        <v>921</v>
      </c>
      <c r="M98" s="15"/>
      <c r="N98" s="10"/>
      <c r="O98" s="10">
        <v>2</v>
      </c>
      <c r="P98" s="10"/>
      <c r="Q98" s="25"/>
      <c r="R98" s="31">
        <f t="shared" si="7"/>
        <v>2</v>
      </c>
      <c r="S98" s="7" t="s">
        <v>92</v>
      </c>
      <c r="T98" s="7" t="s">
        <v>278</v>
      </c>
      <c r="U98" s="7" t="s">
        <v>517</v>
      </c>
      <c r="V98" s="15"/>
      <c r="W98" s="10"/>
      <c r="X98" s="10">
        <v>1</v>
      </c>
      <c r="Y98" s="10"/>
      <c r="Z98" s="25"/>
      <c r="AA98" s="39">
        <f t="shared" si="8"/>
        <v>1</v>
      </c>
      <c r="AG98" s="63">
        <f t="shared" si="9"/>
        <v>2</v>
      </c>
      <c r="AH98" s="59">
        <f t="shared" si="10"/>
        <v>2</v>
      </c>
      <c r="AI98" s="69">
        <f t="shared" si="11"/>
        <v>1</v>
      </c>
    </row>
    <row r="99" spans="1:35" s="11" customFormat="1" ht="27" customHeight="1" x14ac:dyDescent="0.2">
      <c r="A99" s="7" t="s">
        <v>93</v>
      </c>
      <c r="B99" s="7" t="s">
        <v>279</v>
      </c>
      <c r="C99" s="8" t="s">
        <v>689</v>
      </c>
      <c r="D99" s="15"/>
      <c r="E99" s="10"/>
      <c r="F99" s="10"/>
      <c r="G99" s="10"/>
      <c r="H99" s="10"/>
      <c r="I99" s="26">
        <f t="shared" si="6"/>
        <v>0</v>
      </c>
      <c r="J99" s="7" t="s">
        <v>93</v>
      </c>
      <c r="K99" s="7" t="s">
        <v>279</v>
      </c>
      <c r="L99" s="7" t="s">
        <v>400</v>
      </c>
      <c r="M99" s="15"/>
      <c r="N99" s="10"/>
      <c r="O99" s="10"/>
      <c r="P99" s="10"/>
      <c r="Q99" s="25"/>
      <c r="R99" s="31">
        <f t="shared" si="7"/>
        <v>0</v>
      </c>
      <c r="S99" s="7" t="s">
        <v>93</v>
      </c>
      <c r="T99" s="7" t="s">
        <v>279</v>
      </c>
      <c r="U99" s="7" t="s">
        <v>518</v>
      </c>
      <c r="V99" s="15"/>
      <c r="W99" s="10"/>
      <c r="X99" s="10"/>
      <c r="Y99" s="10"/>
      <c r="Z99" s="25">
        <v>1</v>
      </c>
      <c r="AA99" s="39">
        <f t="shared" si="8"/>
        <v>0.5</v>
      </c>
      <c r="AG99" s="63">
        <f t="shared" si="9"/>
        <v>0</v>
      </c>
      <c r="AH99" s="59">
        <f t="shared" si="10"/>
        <v>0</v>
      </c>
      <c r="AI99" s="69">
        <f t="shared" si="11"/>
        <v>0</v>
      </c>
    </row>
    <row r="100" spans="1:35" s="11" customFormat="1" ht="27" customHeight="1" x14ac:dyDescent="0.2">
      <c r="A100" s="7" t="s">
        <v>94</v>
      </c>
      <c r="B100" s="7" t="s">
        <v>280</v>
      </c>
      <c r="C100" s="8" t="s">
        <v>690</v>
      </c>
      <c r="D100" s="15">
        <v>2</v>
      </c>
      <c r="E100" s="10"/>
      <c r="F100" s="10"/>
      <c r="G100" s="10"/>
      <c r="H100" s="10"/>
      <c r="I100" s="26">
        <f t="shared" si="6"/>
        <v>2</v>
      </c>
      <c r="J100" s="7" t="s">
        <v>94</v>
      </c>
      <c r="K100" s="7" t="s">
        <v>280</v>
      </c>
      <c r="L100" s="7" t="s">
        <v>922</v>
      </c>
      <c r="M100" s="15"/>
      <c r="N100" s="10"/>
      <c r="O100" s="10"/>
      <c r="P100" s="10"/>
      <c r="Q100" s="25"/>
      <c r="R100" s="31">
        <f t="shared" si="7"/>
        <v>0</v>
      </c>
      <c r="S100" s="7" t="s">
        <v>94</v>
      </c>
      <c r="T100" s="7" t="s">
        <v>280</v>
      </c>
      <c r="U100" s="7" t="s">
        <v>519</v>
      </c>
      <c r="V100" s="15"/>
      <c r="W100" s="10"/>
      <c r="X100" s="10"/>
      <c r="Y100" s="10">
        <v>2</v>
      </c>
      <c r="Z100" s="25"/>
      <c r="AA100" s="39">
        <f t="shared" si="8"/>
        <v>2</v>
      </c>
      <c r="AG100" s="63">
        <f t="shared" si="9"/>
        <v>0</v>
      </c>
      <c r="AH100" s="59">
        <f t="shared" si="10"/>
        <v>0</v>
      </c>
      <c r="AI100" s="69">
        <f t="shared" si="11"/>
        <v>2</v>
      </c>
    </row>
    <row r="101" spans="1:35" s="11" customFormat="1" ht="27" customHeight="1" x14ac:dyDescent="0.2">
      <c r="A101" s="7" t="s">
        <v>95</v>
      </c>
      <c r="B101" s="7" t="s">
        <v>281</v>
      </c>
      <c r="C101" s="8" t="s">
        <v>691</v>
      </c>
      <c r="D101" s="15">
        <v>1</v>
      </c>
      <c r="E101" s="10"/>
      <c r="F101" s="10"/>
      <c r="G101" s="10"/>
      <c r="H101" s="10"/>
      <c r="I101" s="26">
        <f t="shared" si="6"/>
        <v>1</v>
      </c>
      <c r="J101" s="7" t="s">
        <v>95</v>
      </c>
      <c r="K101" s="7" t="s">
        <v>281</v>
      </c>
      <c r="L101" s="7" t="s">
        <v>923</v>
      </c>
      <c r="M101" s="15"/>
      <c r="N101" s="10"/>
      <c r="O101" s="10"/>
      <c r="P101" s="10"/>
      <c r="Q101" s="25"/>
      <c r="R101" s="31">
        <f t="shared" si="7"/>
        <v>0</v>
      </c>
      <c r="S101" s="7" t="s">
        <v>95</v>
      </c>
      <c r="T101" s="7" t="s">
        <v>281</v>
      </c>
      <c r="U101" s="7" t="s">
        <v>520</v>
      </c>
      <c r="V101" s="15"/>
      <c r="W101" s="10"/>
      <c r="X101" s="10"/>
      <c r="Y101" s="10"/>
      <c r="Z101" s="25"/>
      <c r="AA101" s="39">
        <f t="shared" si="8"/>
        <v>0</v>
      </c>
      <c r="AG101" s="63">
        <f t="shared" si="9"/>
        <v>0</v>
      </c>
      <c r="AH101" s="59">
        <f t="shared" si="10"/>
        <v>0</v>
      </c>
      <c r="AI101" s="69">
        <f t="shared" si="11"/>
        <v>0</v>
      </c>
    </row>
    <row r="102" spans="1:35" s="11" customFormat="1" ht="27" customHeight="1" x14ac:dyDescent="0.2">
      <c r="A102" s="7" t="s">
        <v>96</v>
      </c>
      <c r="B102" s="7" t="s">
        <v>282</v>
      </c>
      <c r="C102" s="8" t="s">
        <v>692</v>
      </c>
      <c r="D102" s="15"/>
      <c r="E102" s="10"/>
      <c r="F102" s="10"/>
      <c r="G102" s="10"/>
      <c r="H102" s="10">
        <v>1</v>
      </c>
      <c r="I102" s="26">
        <f t="shared" si="6"/>
        <v>0.5</v>
      </c>
      <c r="J102" s="7" t="s">
        <v>96</v>
      </c>
      <c r="K102" s="7" t="s">
        <v>282</v>
      </c>
      <c r="L102" s="7" t="s">
        <v>924</v>
      </c>
      <c r="M102" s="15"/>
      <c r="N102" s="10"/>
      <c r="O102" s="10"/>
      <c r="P102" s="10"/>
      <c r="Q102" s="25"/>
      <c r="R102" s="31">
        <f t="shared" si="7"/>
        <v>0</v>
      </c>
      <c r="S102" s="7" t="s">
        <v>96</v>
      </c>
      <c r="T102" s="7" t="s">
        <v>282</v>
      </c>
      <c r="U102" s="7" t="s">
        <v>521</v>
      </c>
      <c r="V102" s="15"/>
      <c r="W102" s="10"/>
      <c r="X102" s="10"/>
      <c r="Y102" s="10"/>
      <c r="Z102" s="25"/>
      <c r="AA102" s="39">
        <f t="shared" si="8"/>
        <v>0</v>
      </c>
      <c r="AG102" s="63">
        <f t="shared" si="9"/>
        <v>0</v>
      </c>
      <c r="AH102" s="59">
        <f t="shared" si="10"/>
        <v>0</v>
      </c>
      <c r="AI102" s="69">
        <f t="shared" si="11"/>
        <v>0</v>
      </c>
    </row>
    <row r="103" spans="1:35" s="11" customFormat="1" ht="27" customHeight="1" x14ac:dyDescent="0.2">
      <c r="A103" s="7" t="s">
        <v>97</v>
      </c>
      <c r="B103" s="7" t="s">
        <v>283</v>
      </c>
      <c r="C103" s="8" t="s">
        <v>693</v>
      </c>
      <c r="D103" s="15"/>
      <c r="E103" s="10"/>
      <c r="F103" s="10">
        <v>2</v>
      </c>
      <c r="G103" s="10"/>
      <c r="H103" s="10"/>
      <c r="I103" s="26">
        <f t="shared" si="6"/>
        <v>2</v>
      </c>
      <c r="J103" s="7" t="s">
        <v>97</v>
      </c>
      <c r="K103" s="7" t="s">
        <v>283</v>
      </c>
      <c r="L103" s="7" t="s">
        <v>925</v>
      </c>
      <c r="M103" s="15"/>
      <c r="N103" s="10"/>
      <c r="O103" s="10">
        <v>2</v>
      </c>
      <c r="P103" s="10"/>
      <c r="Q103" s="25"/>
      <c r="R103" s="31">
        <f t="shared" si="7"/>
        <v>2</v>
      </c>
      <c r="S103" s="7" t="s">
        <v>97</v>
      </c>
      <c r="T103" s="7" t="s">
        <v>283</v>
      </c>
      <c r="U103" s="7" t="s">
        <v>522</v>
      </c>
      <c r="V103" s="15"/>
      <c r="W103" s="10"/>
      <c r="X103" s="10">
        <v>2</v>
      </c>
      <c r="Y103" s="10"/>
      <c r="Z103" s="25"/>
      <c r="AA103" s="39">
        <f t="shared" si="8"/>
        <v>2</v>
      </c>
      <c r="AG103" s="63">
        <f t="shared" si="9"/>
        <v>2</v>
      </c>
      <c r="AH103" s="59">
        <f t="shared" si="10"/>
        <v>2</v>
      </c>
      <c r="AI103" s="69">
        <f t="shared" si="11"/>
        <v>2</v>
      </c>
    </row>
    <row r="104" spans="1:35" s="11" customFormat="1" ht="27" customHeight="1" x14ac:dyDescent="0.2">
      <c r="A104" s="7" t="s">
        <v>98</v>
      </c>
      <c r="B104" s="7" t="s">
        <v>284</v>
      </c>
      <c r="C104" s="8" t="s">
        <v>694</v>
      </c>
      <c r="D104" s="15"/>
      <c r="E104" s="10"/>
      <c r="F104" s="10"/>
      <c r="G104" s="10"/>
      <c r="H104" s="10">
        <v>1</v>
      </c>
      <c r="I104" s="26">
        <f t="shared" si="6"/>
        <v>0.5</v>
      </c>
      <c r="J104" s="7" t="s">
        <v>98</v>
      </c>
      <c r="K104" s="7" t="s">
        <v>284</v>
      </c>
      <c r="L104" s="7" t="s">
        <v>401</v>
      </c>
      <c r="M104" s="15"/>
      <c r="N104" s="10"/>
      <c r="O104" s="10"/>
      <c r="P104" s="10">
        <v>1</v>
      </c>
      <c r="Q104" s="25"/>
      <c r="R104" s="31">
        <f t="shared" si="7"/>
        <v>1</v>
      </c>
      <c r="S104" s="7" t="s">
        <v>98</v>
      </c>
      <c r="T104" s="7" t="s">
        <v>284</v>
      </c>
      <c r="U104" s="7" t="s">
        <v>523</v>
      </c>
      <c r="V104" s="15"/>
      <c r="W104" s="10"/>
      <c r="X104" s="10"/>
      <c r="Y104" s="10">
        <v>2</v>
      </c>
      <c r="Z104" s="25"/>
      <c r="AA104" s="39">
        <f t="shared" si="8"/>
        <v>2</v>
      </c>
      <c r="AG104" s="63">
        <f t="shared" si="9"/>
        <v>0</v>
      </c>
      <c r="AH104" s="59">
        <f t="shared" si="10"/>
        <v>1</v>
      </c>
      <c r="AI104" s="69">
        <f t="shared" si="11"/>
        <v>2</v>
      </c>
    </row>
    <row r="105" spans="1:35" s="11" customFormat="1" ht="27" customHeight="1" x14ac:dyDescent="0.2">
      <c r="A105" s="7" t="s">
        <v>99</v>
      </c>
      <c r="B105" s="7" t="s">
        <v>285</v>
      </c>
      <c r="C105" s="8" t="s">
        <v>695</v>
      </c>
      <c r="D105" s="15"/>
      <c r="E105" s="10"/>
      <c r="F105" s="10">
        <v>2</v>
      </c>
      <c r="G105" s="10"/>
      <c r="H105" s="10"/>
      <c r="I105" s="26">
        <f t="shared" si="6"/>
        <v>2</v>
      </c>
      <c r="J105" s="7" t="s">
        <v>99</v>
      </c>
      <c r="K105" s="7" t="s">
        <v>285</v>
      </c>
      <c r="L105" s="7" t="s">
        <v>926</v>
      </c>
      <c r="M105" s="15"/>
      <c r="N105" s="10"/>
      <c r="O105" s="10"/>
      <c r="P105" s="10">
        <v>2</v>
      </c>
      <c r="Q105" s="25"/>
      <c r="R105" s="31">
        <f t="shared" si="7"/>
        <v>2</v>
      </c>
      <c r="S105" s="7" t="s">
        <v>99</v>
      </c>
      <c r="T105" s="7" t="s">
        <v>285</v>
      </c>
      <c r="U105" s="7" t="s">
        <v>524</v>
      </c>
      <c r="V105" s="15"/>
      <c r="W105" s="10"/>
      <c r="X105" s="10">
        <v>2</v>
      </c>
      <c r="Y105" s="10"/>
      <c r="Z105" s="25"/>
      <c r="AA105" s="39">
        <f t="shared" si="8"/>
        <v>2</v>
      </c>
      <c r="AG105" s="63">
        <f t="shared" si="9"/>
        <v>2</v>
      </c>
      <c r="AH105" s="59">
        <f t="shared" si="10"/>
        <v>2</v>
      </c>
      <c r="AI105" s="69">
        <f t="shared" si="11"/>
        <v>2</v>
      </c>
    </row>
    <row r="106" spans="1:35" s="11" customFormat="1" ht="27" customHeight="1" x14ac:dyDescent="0.2">
      <c r="A106" s="7" t="s">
        <v>100</v>
      </c>
      <c r="B106" s="7" t="s">
        <v>286</v>
      </c>
      <c r="C106" s="8" t="s">
        <v>696</v>
      </c>
      <c r="D106" s="15"/>
      <c r="E106" s="10"/>
      <c r="F106" s="10"/>
      <c r="G106" s="10">
        <v>1</v>
      </c>
      <c r="H106" s="10"/>
      <c r="I106" s="26">
        <f t="shared" si="6"/>
        <v>1</v>
      </c>
      <c r="J106" s="7" t="s">
        <v>100</v>
      </c>
      <c r="K106" s="7" t="s">
        <v>286</v>
      </c>
      <c r="L106" s="7" t="s">
        <v>286</v>
      </c>
      <c r="M106" s="15"/>
      <c r="N106" s="10"/>
      <c r="O106" s="10"/>
      <c r="P106" s="10"/>
      <c r="Q106" s="25"/>
      <c r="R106" s="31">
        <f t="shared" si="7"/>
        <v>0</v>
      </c>
      <c r="S106" s="7" t="s">
        <v>100</v>
      </c>
      <c r="T106" s="7" t="s">
        <v>286</v>
      </c>
      <c r="U106" s="7" t="s">
        <v>525</v>
      </c>
      <c r="V106" s="15"/>
      <c r="W106" s="10"/>
      <c r="X106" s="10">
        <v>2</v>
      </c>
      <c r="Y106" s="10"/>
      <c r="Z106" s="25"/>
      <c r="AA106" s="39">
        <f t="shared" si="8"/>
        <v>2</v>
      </c>
      <c r="AG106" s="63">
        <f t="shared" si="9"/>
        <v>1</v>
      </c>
      <c r="AH106" s="59">
        <f t="shared" si="10"/>
        <v>0</v>
      </c>
      <c r="AI106" s="69">
        <f t="shared" si="11"/>
        <v>2</v>
      </c>
    </row>
    <row r="107" spans="1:35" s="11" customFormat="1" ht="27" customHeight="1" x14ac:dyDescent="0.2">
      <c r="A107" s="7" t="s">
        <v>101</v>
      </c>
      <c r="B107" s="7" t="s">
        <v>287</v>
      </c>
      <c r="C107" s="8" t="s">
        <v>697</v>
      </c>
      <c r="D107" s="15"/>
      <c r="E107" s="10"/>
      <c r="F107" s="10">
        <v>2</v>
      </c>
      <c r="G107" s="10"/>
      <c r="H107" s="10"/>
      <c r="I107" s="26">
        <f t="shared" si="6"/>
        <v>2</v>
      </c>
      <c r="J107" s="7" t="s">
        <v>101</v>
      </c>
      <c r="K107" s="7" t="s">
        <v>287</v>
      </c>
      <c r="L107" s="7" t="s">
        <v>927</v>
      </c>
      <c r="M107" s="15"/>
      <c r="N107" s="10"/>
      <c r="O107" s="10"/>
      <c r="P107" s="10"/>
      <c r="Q107" s="25"/>
      <c r="R107" s="31">
        <f t="shared" si="7"/>
        <v>0</v>
      </c>
      <c r="S107" s="7" t="s">
        <v>101</v>
      </c>
      <c r="T107" s="7" t="s">
        <v>287</v>
      </c>
      <c r="U107" s="7" t="s">
        <v>526</v>
      </c>
      <c r="V107" s="15"/>
      <c r="W107" s="10"/>
      <c r="X107" s="10"/>
      <c r="Y107" s="10">
        <v>2</v>
      </c>
      <c r="Z107" s="25"/>
      <c r="AA107" s="39">
        <f t="shared" si="8"/>
        <v>2</v>
      </c>
      <c r="AG107" s="63">
        <f t="shared" si="9"/>
        <v>2</v>
      </c>
      <c r="AH107" s="59">
        <f t="shared" si="10"/>
        <v>0</v>
      </c>
      <c r="AI107" s="69">
        <f t="shared" si="11"/>
        <v>2</v>
      </c>
    </row>
    <row r="108" spans="1:35" s="11" customFormat="1" ht="27" customHeight="1" x14ac:dyDescent="0.2">
      <c r="A108" s="7" t="s">
        <v>102</v>
      </c>
      <c r="B108" s="7" t="s">
        <v>288</v>
      </c>
      <c r="C108" s="8" t="s">
        <v>1018</v>
      </c>
      <c r="D108" s="15"/>
      <c r="E108" s="10"/>
      <c r="F108" s="10"/>
      <c r="G108" s="10">
        <v>2</v>
      </c>
      <c r="H108" s="10"/>
      <c r="I108" s="26">
        <f t="shared" si="6"/>
        <v>2</v>
      </c>
      <c r="J108" s="7" t="s">
        <v>102</v>
      </c>
      <c r="K108" s="7" t="s">
        <v>288</v>
      </c>
      <c r="L108" s="7" t="s">
        <v>402</v>
      </c>
      <c r="M108" s="15"/>
      <c r="N108" s="10"/>
      <c r="O108" s="10"/>
      <c r="P108" s="10">
        <v>2</v>
      </c>
      <c r="Q108" s="25"/>
      <c r="R108" s="31">
        <f t="shared" si="7"/>
        <v>2</v>
      </c>
      <c r="S108" s="7" t="s">
        <v>102</v>
      </c>
      <c r="T108" s="7" t="s">
        <v>288</v>
      </c>
      <c r="U108" s="7" t="s">
        <v>527</v>
      </c>
      <c r="V108" s="15"/>
      <c r="W108" s="10"/>
      <c r="X108" s="10">
        <v>2</v>
      </c>
      <c r="Y108" s="10"/>
      <c r="Z108" s="25"/>
      <c r="AA108" s="39">
        <f t="shared" si="8"/>
        <v>2</v>
      </c>
      <c r="AG108" s="63">
        <f t="shared" si="9"/>
        <v>2</v>
      </c>
      <c r="AH108" s="59">
        <f t="shared" si="10"/>
        <v>2</v>
      </c>
      <c r="AI108" s="69">
        <f t="shared" si="11"/>
        <v>2</v>
      </c>
    </row>
    <row r="109" spans="1:35" s="11" customFormat="1" ht="27" customHeight="1" x14ac:dyDescent="0.2">
      <c r="A109" s="7" t="s">
        <v>103</v>
      </c>
      <c r="B109" s="7" t="s">
        <v>289</v>
      </c>
      <c r="C109" s="8" t="s">
        <v>698</v>
      </c>
      <c r="D109" s="15"/>
      <c r="E109" s="10"/>
      <c r="F109" s="10"/>
      <c r="G109" s="10"/>
      <c r="H109" s="10">
        <v>1</v>
      </c>
      <c r="I109" s="26">
        <f t="shared" si="6"/>
        <v>0.5</v>
      </c>
      <c r="J109" s="7" t="s">
        <v>103</v>
      </c>
      <c r="K109" s="7" t="s">
        <v>289</v>
      </c>
      <c r="L109" s="7" t="s">
        <v>403</v>
      </c>
      <c r="M109" s="15"/>
      <c r="N109" s="10"/>
      <c r="O109" s="10"/>
      <c r="P109" s="10"/>
      <c r="Q109" s="25"/>
      <c r="R109" s="31">
        <f t="shared" si="7"/>
        <v>0</v>
      </c>
      <c r="S109" s="7" t="s">
        <v>103</v>
      </c>
      <c r="T109" s="7" t="s">
        <v>289</v>
      </c>
      <c r="U109" s="7" t="s">
        <v>528</v>
      </c>
      <c r="V109" s="15"/>
      <c r="W109" s="10"/>
      <c r="X109" s="10"/>
      <c r="Y109" s="10">
        <v>1</v>
      </c>
      <c r="Z109" s="25"/>
      <c r="AA109" s="39">
        <f t="shared" si="8"/>
        <v>1</v>
      </c>
      <c r="AG109" s="63">
        <f t="shared" si="9"/>
        <v>0</v>
      </c>
      <c r="AH109" s="59">
        <f t="shared" si="10"/>
        <v>0</v>
      </c>
      <c r="AI109" s="69">
        <f t="shared" si="11"/>
        <v>1</v>
      </c>
    </row>
    <row r="110" spans="1:35" s="11" customFormat="1" ht="27" customHeight="1" x14ac:dyDescent="0.2">
      <c r="A110" s="7" t="s">
        <v>104</v>
      </c>
      <c r="B110" s="7" t="s">
        <v>290</v>
      </c>
      <c r="C110" s="8" t="s">
        <v>1019</v>
      </c>
      <c r="D110" s="15"/>
      <c r="E110" s="10"/>
      <c r="F110" s="10"/>
      <c r="G110" s="10"/>
      <c r="H110" s="10"/>
      <c r="I110" s="26">
        <f t="shared" si="6"/>
        <v>0</v>
      </c>
      <c r="J110" s="7" t="s">
        <v>104</v>
      </c>
      <c r="K110" s="7" t="s">
        <v>290</v>
      </c>
      <c r="L110" s="7" t="s">
        <v>928</v>
      </c>
      <c r="M110" s="15"/>
      <c r="N110" s="10"/>
      <c r="O110" s="10">
        <v>2</v>
      </c>
      <c r="P110" s="10"/>
      <c r="Q110" s="25"/>
      <c r="R110" s="31">
        <f t="shared" si="7"/>
        <v>2</v>
      </c>
      <c r="S110" s="7" t="s">
        <v>104</v>
      </c>
      <c r="T110" s="7" t="s">
        <v>290</v>
      </c>
      <c r="U110" s="7" t="s">
        <v>529</v>
      </c>
      <c r="V110" s="15"/>
      <c r="W110" s="10"/>
      <c r="X110" s="10">
        <v>2</v>
      </c>
      <c r="Y110" s="10"/>
      <c r="Z110" s="25"/>
      <c r="AA110" s="39">
        <f t="shared" si="8"/>
        <v>2</v>
      </c>
      <c r="AG110" s="63">
        <f t="shared" si="9"/>
        <v>0</v>
      </c>
      <c r="AH110" s="59">
        <f t="shared" si="10"/>
        <v>2</v>
      </c>
      <c r="AI110" s="69">
        <f t="shared" si="11"/>
        <v>2</v>
      </c>
    </row>
    <row r="111" spans="1:35" s="11" customFormat="1" ht="27" customHeight="1" x14ac:dyDescent="0.2">
      <c r="A111" s="7" t="s">
        <v>105</v>
      </c>
      <c r="B111" s="7" t="s">
        <v>291</v>
      </c>
      <c r="C111" s="8" t="s">
        <v>699</v>
      </c>
      <c r="D111" s="15"/>
      <c r="E111" s="10"/>
      <c r="F111" s="10"/>
      <c r="G111" s="10"/>
      <c r="H111" s="10"/>
      <c r="I111" s="26">
        <f t="shared" si="6"/>
        <v>0</v>
      </c>
      <c r="J111" s="7" t="s">
        <v>105</v>
      </c>
      <c r="K111" s="7" t="s">
        <v>291</v>
      </c>
      <c r="L111" s="7" t="s">
        <v>404</v>
      </c>
      <c r="M111" s="15"/>
      <c r="N111" s="10"/>
      <c r="O111" s="10"/>
      <c r="P111" s="10"/>
      <c r="Q111" s="25"/>
      <c r="R111" s="31">
        <f t="shared" si="7"/>
        <v>0</v>
      </c>
      <c r="S111" s="7" t="s">
        <v>105</v>
      </c>
      <c r="T111" s="7" t="s">
        <v>291</v>
      </c>
      <c r="U111" s="7" t="s">
        <v>530</v>
      </c>
      <c r="V111" s="15"/>
      <c r="W111" s="10"/>
      <c r="X111" s="10">
        <v>2</v>
      </c>
      <c r="Y111" s="10"/>
      <c r="Z111" s="25"/>
      <c r="AA111" s="39">
        <f t="shared" si="8"/>
        <v>2</v>
      </c>
      <c r="AG111" s="63">
        <f t="shared" si="9"/>
        <v>0</v>
      </c>
      <c r="AH111" s="59">
        <f t="shared" si="10"/>
        <v>0</v>
      </c>
      <c r="AI111" s="69">
        <f t="shared" si="11"/>
        <v>2</v>
      </c>
    </row>
    <row r="112" spans="1:35" s="11" customFormat="1" ht="27" customHeight="1" x14ac:dyDescent="0.2">
      <c r="A112" s="7" t="s">
        <v>106</v>
      </c>
      <c r="B112" s="7" t="s">
        <v>292</v>
      </c>
      <c r="C112" s="8" t="s">
        <v>700</v>
      </c>
      <c r="D112" s="15"/>
      <c r="E112" s="10"/>
      <c r="F112" s="10"/>
      <c r="G112" s="10">
        <v>1</v>
      </c>
      <c r="H112" s="10"/>
      <c r="I112" s="26">
        <f t="shared" si="6"/>
        <v>1</v>
      </c>
      <c r="J112" s="7" t="s">
        <v>106</v>
      </c>
      <c r="K112" s="7" t="s">
        <v>292</v>
      </c>
      <c r="L112" s="7" t="s">
        <v>929</v>
      </c>
      <c r="M112" s="15"/>
      <c r="N112" s="10"/>
      <c r="O112" s="10"/>
      <c r="P112" s="10"/>
      <c r="Q112" s="25"/>
      <c r="R112" s="31">
        <f t="shared" si="7"/>
        <v>0</v>
      </c>
      <c r="S112" s="7" t="s">
        <v>106</v>
      </c>
      <c r="T112" s="7" t="s">
        <v>292</v>
      </c>
      <c r="U112" s="7" t="s">
        <v>531</v>
      </c>
      <c r="V112" s="15"/>
      <c r="W112" s="10"/>
      <c r="X112" s="10">
        <v>2</v>
      </c>
      <c r="Y112" s="10"/>
      <c r="Z112" s="25"/>
      <c r="AA112" s="39">
        <f t="shared" si="8"/>
        <v>2</v>
      </c>
      <c r="AG112" s="63">
        <f t="shared" si="9"/>
        <v>1</v>
      </c>
      <c r="AH112" s="59">
        <f t="shared" si="10"/>
        <v>0</v>
      </c>
      <c r="AI112" s="69">
        <f t="shared" si="11"/>
        <v>2</v>
      </c>
    </row>
    <row r="113" spans="1:35" s="12" customFormat="1" ht="27" customHeight="1" x14ac:dyDescent="0.2">
      <c r="A113" s="7" t="s">
        <v>796</v>
      </c>
      <c r="B113" s="7" t="s">
        <v>797</v>
      </c>
      <c r="C113" s="8" t="s">
        <v>825</v>
      </c>
      <c r="D113" s="15"/>
      <c r="E113" s="10"/>
      <c r="F113" s="10"/>
      <c r="G113" s="10"/>
      <c r="H113" s="10"/>
      <c r="I113" s="26">
        <f t="shared" si="6"/>
        <v>0</v>
      </c>
      <c r="J113" s="7" t="s">
        <v>796</v>
      </c>
      <c r="K113" s="7" t="s">
        <v>797</v>
      </c>
      <c r="L113" s="7" t="s">
        <v>930</v>
      </c>
      <c r="M113" s="15"/>
      <c r="N113" s="10"/>
      <c r="O113" s="10"/>
      <c r="P113" s="10"/>
      <c r="Q113" s="25"/>
      <c r="R113" s="31">
        <f t="shared" si="7"/>
        <v>0</v>
      </c>
      <c r="S113" s="7" t="s">
        <v>796</v>
      </c>
      <c r="T113" s="7" t="s">
        <v>797</v>
      </c>
      <c r="U113" s="7" t="s">
        <v>839</v>
      </c>
      <c r="V113" s="15"/>
      <c r="W113" s="10"/>
      <c r="X113" s="10">
        <v>2</v>
      </c>
      <c r="Y113" s="10"/>
      <c r="Z113" s="25"/>
      <c r="AA113" s="39">
        <f t="shared" si="8"/>
        <v>2</v>
      </c>
      <c r="AG113" s="63">
        <f t="shared" si="9"/>
        <v>0</v>
      </c>
      <c r="AH113" s="59">
        <f t="shared" si="10"/>
        <v>0</v>
      </c>
      <c r="AI113" s="69">
        <f t="shared" si="11"/>
        <v>2</v>
      </c>
    </row>
    <row r="114" spans="1:35" s="11" customFormat="1" ht="27" customHeight="1" x14ac:dyDescent="0.2">
      <c r="A114" s="7" t="s">
        <v>107</v>
      </c>
      <c r="B114" s="7" t="s">
        <v>293</v>
      </c>
      <c r="C114" s="8" t="s">
        <v>701</v>
      </c>
      <c r="D114" s="15">
        <v>2</v>
      </c>
      <c r="E114" s="10"/>
      <c r="F114" s="10"/>
      <c r="G114" s="10"/>
      <c r="H114" s="10"/>
      <c r="I114" s="26">
        <f t="shared" si="6"/>
        <v>2</v>
      </c>
      <c r="J114" s="7" t="s">
        <v>107</v>
      </c>
      <c r="K114" s="7" t="s">
        <v>293</v>
      </c>
      <c r="L114" s="7" t="s">
        <v>931</v>
      </c>
      <c r="M114" s="15"/>
      <c r="N114" s="10"/>
      <c r="O114" s="10"/>
      <c r="P114" s="10"/>
      <c r="Q114" s="25"/>
      <c r="R114" s="31">
        <f t="shared" si="7"/>
        <v>0</v>
      </c>
      <c r="S114" s="7" t="s">
        <v>107</v>
      </c>
      <c r="T114" s="7" t="s">
        <v>293</v>
      </c>
      <c r="U114" s="7" t="s">
        <v>532</v>
      </c>
      <c r="V114" s="15"/>
      <c r="W114" s="10">
        <v>2</v>
      </c>
      <c r="X114" s="10"/>
      <c r="Y114" s="10"/>
      <c r="Z114" s="25"/>
      <c r="AA114" s="39">
        <f t="shared" si="8"/>
        <v>2</v>
      </c>
      <c r="AG114" s="63">
        <f t="shared" si="9"/>
        <v>0</v>
      </c>
      <c r="AH114" s="59">
        <f t="shared" si="10"/>
        <v>0</v>
      </c>
      <c r="AI114" s="69">
        <f t="shared" si="11"/>
        <v>2</v>
      </c>
    </row>
    <row r="115" spans="1:35" s="11" customFormat="1" ht="27" customHeight="1" x14ac:dyDescent="0.2">
      <c r="A115" s="7" t="s">
        <v>108</v>
      </c>
      <c r="B115" s="7" t="s">
        <v>294</v>
      </c>
      <c r="C115" s="9" t="s">
        <v>702</v>
      </c>
      <c r="D115" s="16"/>
      <c r="E115" s="10"/>
      <c r="F115" s="10"/>
      <c r="G115" s="10">
        <v>2</v>
      </c>
      <c r="H115" s="10"/>
      <c r="I115" s="26">
        <f t="shared" si="6"/>
        <v>2</v>
      </c>
      <c r="J115" s="7" t="s">
        <v>108</v>
      </c>
      <c r="K115" s="7" t="s">
        <v>294</v>
      </c>
      <c r="L115" s="7" t="s">
        <v>932</v>
      </c>
      <c r="M115" s="16"/>
      <c r="N115" s="10"/>
      <c r="O115" s="10"/>
      <c r="P115" s="10">
        <v>2</v>
      </c>
      <c r="Q115" s="25"/>
      <c r="R115" s="31">
        <f t="shared" si="7"/>
        <v>2</v>
      </c>
      <c r="S115" s="7" t="s">
        <v>108</v>
      </c>
      <c r="T115" s="7" t="s">
        <v>294</v>
      </c>
      <c r="U115" s="7" t="s">
        <v>533</v>
      </c>
      <c r="V115" s="16"/>
      <c r="W115" s="10"/>
      <c r="X115" s="10">
        <v>2</v>
      </c>
      <c r="Y115" s="10"/>
      <c r="Z115" s="25"/>
      <c r="AA115" s="39">
        <f t="shared" si="8"/>
        <v>2</v>
      </c>
      <c r="AG115" s="63">
        <f t="shared" si="9"/>
        <v>2</v>
      </c>
      <c r="AH115" s="59">
        <f t="shared" si="10"/>
        <v>2</v>
      </c>
      <c r="AI115" s="69">
        <f t="shared" si="11"/>
        <v>2</v>
      </c>
    </row>
    <row r="116" spans="1:35" s="11" customFormat="1" ht="27" customHeight="1" x14ac:dyDescent="0.2">
      <c r="A116" s="7" t="s">
        <v>109</v>
      </c>
      <c r="B116" s="7" t="s">
        <v>295</v>
      </c>
      <c r="C116" s="8" t="s">
        <v>703</v>
      </c>
      <c r="D116" s="15"/>
      <c r="E116" s="10"/>
      <c r="F116" s="10"/>
      <c r="G116" s="10">
        <v>2</v>
      </c>
      <c r="H116" s="10"/>
      <c r="I116" s="26">
        <f t="shared" si="6"/>
        <v>2</v>
      </c>
      <c r="J116" s="7" t="s">
        <v>109</v>
      </c>
      <c r="K116" s="7" t="s">
        <v>295</v>
      </c>
      <c r="L116" s="7" t="s">
        <v>933</v>
      </c>
      <c r="M116" s="15"/>
      <c r="N116" s="10"/>
      <c r="O116" s="10"/>
      <c r="P116" s="10"/>
      <c r="Q116" s="25"/>
      <c r="R116" s="31">
        <f t="shared" si="7"/>
        <v>0</v>
      </c>
      <c r="S116" s="7" t="s">
        <v>109</v>
      </c>
      <c r="T116" s="7" t="s">
        <v>295</v>
      </c>
      <c r="U116" s="7" t="s">
        <v>534</v>
      </c>
      <c r="V116" s="15"/>
      <c r="W116" s="10"/>
      <c r="X116" s="10"/>
      <c r="Y116" s="10">
        <v>2</v>
      </c>
      <c r="Z116" s="25"/>
      <c r="AA116" s="39">
        <f t="shared" si="8"/>
        <v>2</v>
      </c>
      <c r="AG116" s="63">
        <f t="shared" si="9"/>
        <v>2</v>
      </c>
      <c r="AH116" s="59">
        <f t="shared" si="10"/>
        <v>0</v>
      </c>
      <c r="AI116" s="69">
        <f t="shared" si="11"/>
        <v>2</v>
      </c>
    </row>
    <row r="117" spans="1:35" s="11" customFormat="1" ht="27" customHeight="1" x14ac:dyDescent="0.2">
      <c r="A117" s="7" t="s">
        <v>110</v>
      </c>
      <c r="B117" s="7" t="s">
        <v>296</v>
      </c>
      <c r="C117" s="8" t="s">
        <v>1020</v>
      </c>
      <c r="D117" s="15"/>
      <c r="E117" s="10"/>
      <c r="F117" s="10"/>
      <c r="G117" s="10"/>
      <c r="H117" s="10"/>
      <c r="I117" s="26">
        <f t="shared" si="6"/>
        <v>0</v>
      </c>
      <c r="J117" s="7" t="s">
        <v>110</v>
      </c>
      <c r="K117" s="7" t="s">
        <v>296</v>
      </c>
      <c r="L117" s="7" t="s">
        <v>934</v>
      </c>
      <c r="M117" s="15"/>
      <c r="N117" s="10"/>
      <c r="O117" s="10"/>
      <c r="P117" s="10"/>
      <c r="Q117" s="25"/>
      <c r="R117" s="31">
        <f t="shared" si="7"/>
        <v>0</v>
      </c>
      <c r="S117" s="7" t="s">
        <v>110</v>
      </c>
      <c r="T117" s="7" t="s">
        <v>296</v>
      </c>
      <c r="U117" s="7" t="s">
        <v>535</v>
      </c>
      <c r="V117" s="15"/>
      <c r="W117" s="10"/>
      <c r="X117" s="10"/>
      <c r="Y117" s="10"/>
      <c r="Z117" s="25"/>
      <c r="AA117" s="39">
        <f t="shared" si="8"/>
        <v>0</v>
      </c>
      <c r="AG117" s="63">
        <f t="shared" si="9"/>
        <v>0</v>
      </c>
      <c r="AH117" s="59">
        <f t="shared" si="10"/>
        <v>0</v>
      </c>
      <c r="AI117" s="69">
        <f t="shared" si="11"/>
        <v>0</v>
      </c>
    </row>
    <row r="118" spans="1:35" s="11" customFormat="1" ht="27" customHeight="1" x14ac:dyDescent="0.2">
      <c r="A118" s="7" t="s">
        <v>111</v>
      </c>
      <c r="B118" s="7" t="s">
        <v>297</v>
      </c>
      <c r="C118" s="8" t="s">
        <v>704</v>
      </c>
      <c r="D118" s="15">
        <v>2</v>
      </c>
      <c r="E118" s="10"/>
      <c r="F118" s="10"/>
      <c r="G118" s="10"/>
      <c r="H118" s="10"/>
      <c r="I118" s="26">
        <f t="shared" si="6"/>
        <v>2</v>
      </c>
      <c r="J118" s="7" t="s">
        <v>111</v>
      </c>
      <c r="K118" s="7" t="s">
        <v>297</v>
      </c>
      <c r="L118" s="7" t="s">
        <v>405</v>
      </c>
      <c r="M118" s="15"/>
      <c r="N118" s="10"/>
      <c r="O118" s="10"/>
      <c r="P118" s="10"/>
      <c r="Q118" s="25"/>
      <c r="R118" s="31">
        <f t="shared" si="7"/>
        <v>0</v>
      </c>
      <c r="S118" s="7" t="s">
        <v>111</v>
      </c>
      <c r="T118" s="7" t="s">
        <v>297</v>
      </c>
      <c r="U118" s="7" t="s">
        <v>536</v>
      </c>
      <c r="V118" s="15"/>
      <c r="W118" s="10"/>
      <c r="X118" s="10"/>
      <c r="Y118" s="10"/>
      <c r="Z118" s="25"/>
      <c r="AA118" s="39">
        <f t="shared" si="8"/>
        <v>0</v>
      </c>
      <c r="AG118" s="63">
        <f t="shared" si="9"/>
        <v>0</v>
      </c>
      <c r="AH118" s="59">
        <f t="shared" si="10"/>
        <v>0</v>
      </c>
      <c r="AI118" s="69">
        <f t="shared" si="11"/>
        <v>0</v>
      </c>
    </row>
    <row r="119" spans="1:35" s="11" customFormat="1" ht="27" customHeight="1" x14ac:dyDescent="0.2">
      <c r="A119" s="7" t="s">
        <v>112</v>
      </c>
      <c r="B119" s="7" t="s">
        <v>298</v>
      </c>
      <c r="C119" s="9" t="s">
        <v>1021</v>
      </c>
      <c r="D119" s="16"/>
      <c r="E119" s="10"/>
      <c r="F119" s="10"/>
      <c r="G119" s="10">
        <v>1</v>
      </c>
      <c r="H119" s="10"/>
      <c r="I119" s="26">
        <f t="shared" si="6"/>
        <v>1</v>
      </c>
      <c r="J119" s="7" t="s">
        <v>112</v>
      </c>
      <c r="K119" s="7" t="s">
        <v>298</v>
      </c>
      <c r="L119" s="7" t="s">
        <v>935</v>
      </c>
      <c r="M119" s="16"/>
      <c r="N119" s="10"/>
      <c r="O119" s="10"/>
      <c r="P119" s="10"/>
      <c r="Q119" s="25"/>
      <c r="R119" s="31">
        <f t="shared" si="7"/>
        <v>0</v>
      </c>
      <c r="S119" s="7" t="s">
        <v>112</v>
      </c>
      <c r="T119" s="7" t="s">
        <v>298</v>
      </c>
      <c r="U119" s="7" t="s">
        <v>537</v>
      </c>
      <c r="V119" s="16"/>
      <c r="W119" s="10"/>
      <c r="X119" s="10"/>
      <c r="Y119" s="10">
        <v>2</v>
      </c>
      <c r="Z119" s="25"/>
      <c r="AA119" s="39">
        <f t="shared" si="8"/>
        <v>2</v>
      </c>
      <c r="AG119" s="63">
        <f t="shared" si="9"/>
        <v>1</v>
      </c>
      <c r="AH119" s="59">
        <f t="shared" si="10"/>
        <v>0</v>
      </c>
      <c r="AI119" s="69">
        <f t="shared" si="11"/>
        <v>2</v>
      </c>
    </row>
    <row r="120" spans="1:35" s="12" customFormat="1" ht="27" customHeight="1" x14ac:dyDescent="0.2">
      <c r="A120" s="7" t="s">
        <v>798</v>
      </c>
      <c r="B120" s="7" t="s">
        <v>799</v>
      </c>
      <c r="C120" s="8" t="s">
        <v>826</v>
      </c>
      <c r="D120" s="15"/>
      <c r="E120" s="10"/>
      <c r="F120" s="10"/>
      <c r="G120" s="10"/>
      <c r="H120" s="10">
        <v>1</v>
      </c>
      <c r="I120" s="26">
        <f t="shared" si="6"/>
        <v>0.5</v>
      </c>
      <c r="J120" s="7" t="s">
        <v>798</v>
      </c>
      <c r="K120" s="7" t="s">
        <v>799</v>
      </c>
      <c r="L120" s="7" t="s">
        <v>936</v>
      </c>
      <c r="M120" s="15"/>
      <c r="N120" s="10"/>
      <c r="O120" s="10"/>
      <c r="P120" s="10">
        <v>2</v>
      </c>
      <c r="Q120" s="25"/>
      <c r="R120" s="31">
        <f t="shared" si="7"/>
        <v>2</v>
      </c>
      <c r="S120" s="7" t="s">
        <v>798</v>
      </c>
      <c r="T120" s="7" t="s">
        <v>799</v>
      </c>
      <c r="U120" s="7" t="s">
        <v>840</v>
      </c>
      <c r="V120" s="15"/>
      <c r="W120" s="10"/>
      <c r="X120" s="10">
        <v>2</v>
      </c>
      <c r="Y120" s="10"/>
      <c r="Z120" s="25"/>
      <c r="AA120" s="39">
        <f t="shared" si="8"/>
        <v>2</v>
      </c>
      <c r="AG120" s="63">
        <f t="shared" si="9"/>
        <v>0</v>
      </c>
      <c r="AH120" s="59">
        <f t="shared" si="10"/>
        <v>2</v>
      </c>
      <c r="AI120" s="69">
        <f t="shared" si="11"/>
        <v>2</v>
      </c>
    </row>
    <row r="121" spans="1:35" s="11" customFormat="1" ht="27" customHeight="1" x14ac:dyDescent="0.2">
      <c r="A121" s="7" t="s">
        <v>113</v>
      </c>
      <c r="B121" s="7" t="s">
        <v>299</v>
      </c>
      <c r="C121" s="8" t="s">
        <v>705</v>
      </c>
      <c r="D121" s="15"/>
      <c r="E121" s="10"/>
      <c r="F121" s="10">
        <v>2</v>
      </c>
      <c r="G121" s="10"/>
      <c r="H121" s="10"/>
      <c r="I121" s="26">
        <f t="shared" si="6"/>
        <v>2</v>
      </c>
      <c r="J121" s="7" t="s">
        <v>113</v>
      </c>
      <c r="K121" s="7" t="s">
        <v>299</v>
      </c>
      <c r="L121" s="7" t="s">
        <v>937</v>
      </c>
      <c r="M121" s="15"/>
      <c r="N121" s="10"/>
      <c r="O121" s="10"/>
      <c r="P121" s="10"/>
      <c r="Q121" s="25"/>
      <c r="R121" s="31">
        <f t="shared" si="7"/>
        <v>0</v>
      </c>
      <c r="S121" s="7" t="s">
        <v>113</v>
      </c>
      <c r="T121" s="7" t="s">
        <v>299</v>
      </c>
      <c r="U121" s="7" t="s">
        <v>538</v>
      </c>
      <c r="V121" s="15"/>
      <c r="W121" s="10"/>
      <c r="X121" s="10">
        <v>2</v>
      </c>
      <c r="Y121" s="10"/>
      <c r="Z121" s="25"/>
      <c r="AA121" s="39">
        <f t="shared" si="8"/>
        <v>2</v>
      </c>
      <c r="AG121" s="63">
        <f t="shared" si="9"/>
        <v>2</v>
      </c>
      <c r="AH121" s="59">
        <f t="shared" si="10"/>
        <v>0</v>
      </c>
      <c r="AI121" s="69">
        <f t="shared" si="11"/>
        <v>2</v>
      </c>
    </row>
    <row r="122" spans="1:35" s="11" customFormat="1" ht="27" customHeight="1" x14ac:dyDescent="0.2">
      <c r="A122" s="7" t="s">
        <v>114</v>
      </c>
      <c r="B122" s="7" t="s">
        <v>300</v>
      </c>
      <c r="C122" s="8" t="s">
        <v>706</v>
      </c>
      <c r="D122" s="15"/>
      <c r="E122" s="10"/>
      <c r="F122" s="10">
        <v>2</v>
      </c>
      <c r="G122" s="10"/>
      <c r="H122" s="10"/>
      <c r="I122" s="26">
        <f t="shared" si="6"/>
        <v>2</v>
      </c>
      <c r="J122" s="7" t="s">
        <v>114</v>
      </c>
      <c r="K122" s="7" t="s">
        <v>300</v>
      </c>
      <c r="L122" s="7" t="s">
        <v>938</v>
      </c>
      <c r="M122" s="15">
        <v>2</v>
      </c>
      <c r="N122" s="10"/>
      <c r="O122" s="10"/>
      <c r="P122" s="10"/>
      <c r="Q122" s="25"/>
      <c r="R122" s="31">
        <f t="shared" si="7"/>
        <v>2</v>
      </c>
      <c r="S122" s="7" t="s">
        <v>114</v>
      </c>
      <c r="T122" s="7" t="s">
        <v>300</v>
      </c>
      <c r="U122" s="7" t="s">
        <v>539</v>
      </c>
      <c r="V122" s="15"/>
      <c r="W122" s="10"/>
      <c r="X122" s="10">
        <v>2</v>
      </c>
      <c r="Y122" s="10"/>
      <c r="Z122" s="25"/>
      <c r="AA122" s="39">
        <f t="shared" si="8"/>
        <v>2</v>
      </c>
      <c r="AG122" s="63">
        <f t="shared" si="9"/>
        <v>2</v>
      </c>
      <c r="AH122" s="59">
        <f t="shared" si="10"/>
        <v>0</v>
      </c>
      <c r="AI122" s="69">
        <f t="shared" si="11"/>
        <v>2</v>
      </c>
    </row>
    <row r="123" spans="1:35" s="11" customFormat="1" ht="27" customHeight="1" x14ac:dyDescent="0.2">
      <c r="A123" s="7" t="s">
        <v>115</v>
      </c>
      <c r="B123" s="7" t="s">
        <v>301</v>
      </c>
      <c r="C123" s="8" t="s">
        <v>707</v>
      </c>
      <c r="D123" s="15"/>
      <c r="E123" s="10"/>
      <c r="F123" s="10"/>
      <c r="G123" s="10"/>
      <c r="H123" s="10"/>
      <c r="I123" s="26">
        <f t="shared" si="6"/>
        <v>0</v>
      </c>
      <c r="J123" s="7" t="s">
        <v>115</v>
      </c>
      <c r="K123" s="7" t="s">
        <v>301</v>
      </c>
      <c r="L123" s="7" t="s">
        <v>939</v>
      </c>
      <c r="M123" s="15"/>
      <c r="N123" s="10"/>
      <c r="O123" s="10"/>
      <c r="P123" s="10"/>
      <c r="Q123" s="25"/>
      <c r="R123" s="31">
        <f t="shared" si="7"/>
        <v>0</v>
      </c>
      <c r="S123" s="7" t="s">
        <v>115</v>
      </c>
      <c r="T123" s="7" t="s">
        <v>301</v>
      </c>
      <c r="U123" s="7" t="s">
        <v>540</v>
      </c>
      <c r="V123" s="15"/>
      <c r="W123" s="10"/>
      <c r="X123" s="10"/>
      <c r="Y123" s="10">
        <v>2</v>
      </c>
      <c r="Z123" s="25"/>
      <c r="AA123" s="39">
        <f t="shared" si="8"/>
        <v>2</v>
      </c>
      <c r="AG123" s="63">
        <f t="shared" si="9"/>
        <v>0</v>
      </c>
      <c r="AH123" s="59">
        <f t="shared" si="10"/>
        <v>0</v>
      </c>
      <c r="AI123" s="69">
        <f t="shared" si="11"/>
        <v>2</v>
      </c>
    </row>
    <row r="124" spans="1:35" s="11" customFormat="1" ht="27" customHeight="1" x14ac:dyDescent="0.2">
      <c r="A124" s="7" t="s">
        <v>116</v>
      </c>
      <c r="B124" s="7" t="s">
        <v>302</v>
      </c>
      <c r="C124" s="8" t="s">
        <v>708</v>
      </c>
      <c r="D124" s="15"/>
      <c r="E124" s="10"/>
      <c r="F124" s="10">
        <v>2</v>
      </c>
      <c r="G124" s="10"/>
      <c r="H124" s="10"/>
      <c r="I124" s="26">
        <f t="shared" si="6"/>
        <v>2</v>
      </c>
      <c r="J124" s="7" t="s">
        <v>116</v>
      </c>
      <c r="K124" s="7" t="s">
        <v>302</v>
      </c>
      <c r="L124" s="7" t="s">
        <v>940</v>
      </c>
      <c r="M124" s="15"/>
      <c r="N124" s="10"/>
      <c r="O124" s="10">
        <v>2</v>
      </c>
      <c r="P124" s="10"/>
      <c r="Q124" s="25"/>
      <c r="R124" s="31">
        <f t="shared" si="7"/>
        <v>2</v>
      </c>
      <c r="S124" s="7" t="s">
        <v>116</v>
      </c>
      <c r="T124" s="7" t="s">
        <v>302</v>
      </c>
      <c r="U124" s="7" t="s">
        <v>541</v>
      </c>
      <c r="V124" s="15"/>
      <c r="W124" s="10"/>
      <c r="X124" s="10"/>
      <c r="Y124" s="10">
        <v>2</v>
      </c>
      <c r="Z124" s="25"/>
      <c r="AA124" s="39">
        <f t="shared" si="8"/>
        <v>2</v>
      </c>
      <c r="AG124" s="63">
        <f t="shared" si="9"/>
        <v>2</v>
      </c>
      <c r="AH124" s="59">
        <f t="shared" si="10"/>
        <v>2</v>
      </c>
      <c r="AI124" s="69">
        <f t="shared" si="11"/>
        <v>2</v>
      </c>
    </row>
    <row r="125" spans="1:35" s="11" customFormat="1" ht="27" customHeight="1" x14ac:dyDescent="0.2">
      <c r="A125" s="7" t="s">
        <v>117</v>
      </c>
      <c r="B125" s="7" t="s">
        <v>303</v>
      </c>
      <c r="C125" s="8" t="s">
        <v>709</v>
      </c>
      <c r="D125" s="15"/>
      <c r="E125" s="10"/>
      <c r="F125" s="10"/>
      <c r="G125" s="10"/>
      <c r="H125" s="10"/>
      <c r="I125" s="26">
        <f t="shared" si="6"/>
        <v>0</v>
      </c>
      <c r="J125" s="7" t="s">
        <v>117</v>
      </c>
      <c r="K125" s="7" t="s">
        <v>303</v>
      </c>
      <c r="L125" s="7" t="s">
        <v>941</v>
      </c>
      <c r="M125" s="15"/>
      <c r="N125" s="10"/>
      <c r="O125" s="10"/>
      <c r="P125" s="10"/>
      <c r="Q125" s="25"/>
      <c r="R125" s="31">
        <f t="shared" si="7"/>
        <v>0</v>
      </c>
      <c r="S125" s="7" t="s">
        <v>117</v>
      </c>
      <c r="T125" s="7" t="s">
        <v>303</v>
      </c>
      <c r="U125" s="7" t="s">
        <v>542</v>
      </c>
      <c r="V125" s="15"/>
      <c r="W125" s="10"/>
      <c r="X125" s="10"/>
      <c r="Y125" s="10">
        <v>2</v>
      </c>
      <c r="Z125" s="25"/>
      <c r="AA125" s="39">
        <f t="shared" si="8"/>
        <v>2</v>
      </c>
      <c r="AG125" s="63">
        <f t="shared" si="9"/>
        <v>0</v>
      </c>
      <c r="AH125" s="59">
        <f t="shared" si="10"/>
        <v>0</v>
      </c>
      <c r="AI125" s="69">
        <f t="shared" si="11"/>
        <v>2</v>
      </c>
    </row>
    <row r="126" spans="1:35" s="11" customFormat="1" ht="27" customHeight="1" x14ac:dyDescent="0.2">
      <c r="A126" s="7" t="s">
        <v>118</v>
      </c>
      <c r="B126" s="7" t="s">
        <v>304</v>
      </c>
      <c r="C126" s="8" t="s">
        <v>710</v>
      </c>
      <c r="D126" s="15"/>
      <c r="E126" s="10"/>
      <c r="F126" s="10"/>
      <c r="G126" s="10">
        <v>2</v>
      </c>
      <c r="H126" s="10"/>
      <c r="I126" s="26">
        <f t="shared" si="6"/>
        <v>2</v>
      </c>
      <c r="J126" s="7" t="s">
        <v>118</v>
      </c>
      <c r="K126" s="7" t="s">
        <v>304</v>
      </c>
      <c r="L126" s="7" t="s">
        <v>942</v>
      </c>
      <c r="M126" s="15"/>
      <c r="N126" s="10"/>
      <c r="O126" s="10"/>
      <c r="P126" s="10">
        <v>2</v>
      </c>
      <c r="Q126" s="25"/>
      <c r="R126" s="31">
        <f t="shared" si="7"/>
        <v>2</v>
      </c>
      <c r="S126" s="7" t="s">
        <v>118</v>
      </c>
      <c r="T126" s="7" t="s">
        <v>304</v>
      </c>
      <c r="U126" s="7" t="s">
        <v>543</v>
      </c>
      <c r="V126" s="15"/>
      <c r="W126" s="10"/>
      <c r="X126" s="10">
        <v>2</v>
      </c>
      <c r="Y126" s="10"/>
      <c r="Z126" s="25"/>
      <c r="AA126" s="39">
        <f t="shared" si="8"/>
        <v>2</v>
      </c>
      <c r="AG126" s="63">
        <f t="shared" si="9"/>
        <v>2</v>
      </c>
      <c r="AH126" s="59">
        <f t="shared" si="10"/>
        <v>2</v>
      </c>
      <c r="AI126" s="69">
        <f t="shared" si="11"/>
        <v>2</v>
      </c>
    </row>
    <row r="127" spans="1:35" s="12" customFormat="1" ht="27" customHeight="1" x14ac:dyDescent="0.2">
      <c r="A127" s="7" t="s">
        <v>800</v>
      </c>
      <c r="B127" s="7" t="s">
        <v>801</v>
      </c>
      <c r="C127" s="8" t="s">
        <v>827</v>
      </c>
      <c r="D127" s="15"/>
      <c r="E127" s="10"/>
      <c r="F127" s="10"/>
      <c r="G127" s="10"/>
      <c r="H127" s="10">
        <v>1</v>
      </c>
      <c r="I127" s="26">
        <f t="shared" si="6"/>
        <v>0.5</v>
      </c>
      <c r="J127" s="7" t="s">
        <v>800</v>
      </c>
      <c r="K127" s="7" t="s">
        <v>801</v>
      </c>
      <c r="L127" s="7" t="s">
        <v>943</v>
      </c>
      <c r="M127" s="15"/>
      <c r="N127" s="10"/>
      <c r="O127" s="10"/>
      <c r="P127" s="10"/>
      <c r="Q127" s="25"/>
      <c r="R127" s="31">
        <f t="shared" si="7"/>
        <v>0</v>
      </c>
      <c r="S127" s="7" t="s">
        <v>800</v>
      </c>
      <c r="T127" s="7" t="s">
        <v>801</v>
      </c>
      <c r="U127" s="7" t="s">
        <v>841</v>
      </c>
      <c r="V127" s="15"/>
      <c r="W127" s="10"/>
      <c r="X127" s="10"/>
      <c r="Y127" s="10">
        <v>1</v>
      </c>
      <c r="Z127" s="25"/>
      <c r="AA127" s="39">
        <f t="shared" si="8"/>
        <v>1</v>
      </c>
      <c r="AG127" s="63">
        <f t="shared" si="9"/>
        <v>0</v>
      </c>
      <c r="AH127" s="59">
        <f t="shared" si="10"/>
        <v>0</v>
      </c>
      <c r="AI127" s="69">
        <f t="shared" si="11"/>
        <v>1</v>
      </c>
    </row>
    <row r="128" spans="1:35" s="11" customFormat="1" ht="27" customHeight="1" x14ac:dyDescent="0.2">
      <c r="A128" s="7" t="s">
        <v>119</v>
      </c>
      <c r="B128" s="7" t="s">
        <v>305</v>
      </c>
      <c r="C128" s="8" t="s">
        <v>711</v>
      </c>
      <c r="D128" s="15"/>
      <c r="E128" s="10"/>
      <c r="F128" s="10"/>
      <c r="G128" s="10"/>
      <c r="H128" s="10"/>
      <c r="I128" s="26">
        <f t="shared" si="6"/>
        <v>0</v>
      </c>
      <c r="J128" s="7" t="s">
        <v>119</v>
      </c>
      <c r="K128" s="7" t="s">
        <v>305</v>
      </c>
      <c r="L128" s="7" t="s">
        <v>944</v>
      </c>
      <c r="M128" s="15"/>
      <c r="N128" s="10"/>
      <c r="O128" s="10"/>
      <c r="P128" s="10"/>
      <c r="Q128" s="25"/>
      <c r="R128" s="31">
        <f t="shared" si="7"/>
        <v>0</v>
      </c>
      <c r="S128" s="7" t="s">
        <v>119</v>
      </c>
      <c r="T128" s="7" t="s">
        <v>305</v>
      </c>
      <c r="U128" s="7" t="s">
        <v>544</v>
      </c>
      <c r="V128" s="15">
        <v>1</v>
      </c>
      <c r="W128" s="10"/>
      <c r="X128" s="10"/>
      <c r="Y128" s="10"/>
      <c r="Z128" s="25"/>
      <c r="AA128" s="39">
        <f t="shared" si="8"/>
        <v>1</v>
      </c>
      <c r="AG128" s="63">
        <f t="shared" si="9"/>
        <v>0</v>
      </c>
      <c r="AH128" s="59">
        <f t="shared" si="10"/>
        <v>0</v>
      </c>
      <c r="AI128" s="69">
        <f t="shared" si="11"/>
        <v>0</v>
      </c>
    </row>
    <row r="129" spans="1:35" s="11" customFormat="1" ht="27" customHeight="1" x14ac:dyDescent="0.2">
      <c r="A129" s="7" t="s">
        <v>120</v>
      </c>
      <c r="B129" s="7" t="s">
        <v>306</v>
      </c>
      <c r="C129" s="8" t="s">
        <v>712</v>
      </c>
      <c r="D129" s="15">
        <v>1</v>
      </c>
      <c r="E129" s="10"/>
      <c r="F129" s="10"/>
      <c r="G129" s="10"/>
      <c r="H129" s="10"/>
      <c r="I129" s="26">
        <f t="shared" si="6"/>
        <v>1</v>
      </c>
      <c r="J129" s="7" t="s">
        <v>120</v>
      </c>
      <c r="K129" s="7" t="s">
        <v>306</v>
      </c>
      <c r="L129" s="7" t="s">
        <v>945</v>
      </c>
      <c r="M129" s="15"/>
      <c r="N129" s="10"/>
      <c r="O129" s="10"/>
      <c r="P129" s="10">
        <v>2</v>
      </c>
      <c r="Q129" s="25"/>
      <c r="R129" s="31">
        <f t="shared" si="7"/>
        <v>2</v>
      </c>
      <c r="S129" s="7" t="s">
        <v>120</v>
      </c>
      <c r="T129" s="7" t="s">
        <v>306</v>
      </c>
      <c r="U129" s="7" t="s">
        <v>545</v>
      </c>
      <c r="V129" s="15"/>
      <c r="W129" s="10"/>
      <c r="X129" s="10"/>
      <c r="Y129" s="10"/>
      <c r="Z129" s="25"/>
      <c r="AA129" s="39">
        <f t="shared" si="8"/>
        <v>0</v>
      </c>
      <c r="AG129" s="63">
        <f t="shared" si="9"/>
        <v>0</v>
      </c>
      <c r="AH129" s="59">
        <f t="shared" si="10"/>
        <v>2</v>
      </c>
      <c r="AI129" s="69">
        <f t="shared" si="11"/>
        <v>0</v>
      </c>
    </row>
    <row r="130" spans="1:35" s="11" customFormat="1" ht="27" customHeight="1" x14ac:dyDescent="0.2">
      <c r="A130" s="7" t="s">
        <v>121</v>
      </c>
      <c r="B130" s="7" t="s">
        <v>307</v>
      </c>
      <c r="C130" s="8" t="s">
        <v>713</v>
      </c>
      <c r="D130" s="15"/>
      <c r="E130" s="10"/>
      <c r="F130" s="10">
        <v>2</v>
      </c>
      <c r="G130" s="10"/>
      <c r="H130" s="10"/>
      <c r="I130" s="26">
        <f t="shared" si="6"/>
        <v>2</v>
      </c>
      <c r="J130" s="7" t="s">
        <v>121</v>
      </c>
      <c r="K130" s="7" t="s">
        <v>307</v>
      </c>
      <c r="L130" s="7" t="s">
        <v>946</v>
      </c>
      <c r="M130" s="15"/>
      <c r="N130" s="10"/>
      <c r="O130" s="10"/>
      <c r="P130" s="10"/>
      <c r="Q130" s="25">
        <v>1</v>
      </c>
      <c r="R130" s="31">
        <f t="shared" si="7"/>
        <v>0.5</v>
      </c>
      <c r="S130" s="7" t="s">
        <v>121</v>
      </c>
      <c r="T130" s="7" t="s">
        <v>307</v>
      </c>
      <c r="U130" s="7" t="s">
        <v>546</v>
      </c>
      <c r="V130" s="15"/>
      <c r="W130" s="10"/>
      <c r="X130" s="10">
        <v>2</v>
      </c>
      <c r="Y130" s="10"/>
      <c r="Z130" s="25"/>
      <c r="AA130" s="39">
        <f t="shared" si="8"/>
        <v>2</v>
      </c>
      <c r="AG130" s="63">
        <f t="shared" si="9"/>
        <v>2</v>
      </c>
      <c r="AH130" s="59">
        <f t="shared" si="10"/>
        <v>0</v>
      </c>
      <c r="AI130" s="69">
        <f t="shared" si="11"/>
        <v>2</v>
      </c>
    </row>
    <row r="131" spans="1:35" s="11" customFormat="1" ht="27" customHeight="1" x14ac:dyDescent="0.2">
      <c r="A131" s="7" t="s">
        <v>122</v>
      </c>
      <c r="B131" s="7" t="s">
        <v>308</v>
      </c>
      <c r="C131" s="8" t="s">
        <v>714</v>
      </c>
      <c r="D131" s="15"/>
      <c r="E131" s="10"/>
      <c r="F131" s="10"/>
      <c r="G131" s="10"/>
      <c r="H131" s="10"/>
      <c r="I131" s="26">
        <f t="shared" ref="I131:I194" si="12">SUM(D131:G131)+(H131/2)</f>
        <v>0</v>
      </c>
      <c r="J131" s="7" t="s">
        <v>122</v>
      </c>
      <c r="K131" s="7" t="s">
        <v>308</v>
      </c>
      <c r="L131" s="7" t="s">
        <v>406</v>
      </c>
      <c r="M131" s="15"/>
      <c r="N131" s="10"/>
      <c r="O131" s="10"/>
      <c r="P131" s="10"/>
      <c r="Q131" s="25"/>
      <c r="R131" s="31">
        <f t="shared" ref="R131:R194" si="13">SUM(M131:P131)+(Q131/2)</f>
        <v>0</v>
      </c>
      <c r="S131" s="7" t="s">
        <v>122</v>
      </c>
      <c r="T131" s="7" t="s">
        <v>308</v>
      </c>
      <c r="U131" s="7" t="s">
        <v>547</v>
      </c>
      <c r="V131" s="15"/>
      <c r="W131" s="10"/>
      <c r="X131" s="10"/>
      <c r="Y131" s="10">
        <v>2</v>
      </c>
      <c r="Z131" s="25"/>
      <c r="AA131" s="39">
        <f t="shared" ref="AA131:AA194" si="14">SUM(V131:Y131)+(Z131/2)</f>
        <v>2</v>
      </c>
      <c r="AG131" s="63">
        <f t="shared" ref="AG131:AG194" si="15">SUM(E131:G131)</f>
        <v>0</v>
      </c>
      <c r="AH131" s="59">
        <f t="shared" ref="AH131:AH194" si="16">SUM(N131:P131)</f>
        <v>0</v>
      </c>
      <c r="AI131" s="69">
        <f t="shared" ref="AI131:AI194" si="17">SUM(W131:Y131)</f>
        <v>2</v>
      </c>
    </row>
    <row r="132" spans="1:35" s="11" customFormat="1" ht="27" customHeight="1" x14ac:dyDescent="0.2">
      <c r="A132" s="7" t="s">
        <v>123</v>
      </c>
      <c r="B132" s="7" t="s">
        <v>309</v>
      </c>
      <c r="C132" s="8" t="s">
        <v>715</v>
      </c>
      <c r="D132" s="15"/>
      <c r="E132" s="10"/>
      <c r="F132" s="10"/>
      <c r="G132" s="10"/>
      <c r="H132" s="10">
        <v>2</v>
      </c>
      <c r="I132" s="26">
        <f t="shared" si="12"/>
        <v>1</v>
      </c>
      <c r="J132" s="7" t="s">
        <v>123</v>
      </c>
      <c r="K132" s="7" t="s">
        <v>309</v>
      </c>
      <c r="L132" s="7" t="s">
        <v>407</v>
      </c>
      <c r="M132" s="15"/>
      <c r="N132" s="10"/>
      <c r="O132" s="10"/>
      <c r="P132" s="10"/>
      <c r="Q132" s="25"/>
      <c r="R132" s="31">
        <f t="shared" si="13"/>
        <v>0</v>
      </c>
      <c r="S132" s="7" t="s">
        <v>123</v>
      </c>
      <c r="T132" s="7" t="s">
        <v>309</v>
      </c>
      <c r="U132" s="7" t="s">
        <v>548</v>
      </c>
      <c r="V132" s="15"/>
      <c r="W132" s="10"/>
      <c r="X132" s="10"/>
      <c r="Y132" s="10"/>
      <c r="Z132" s="25"/>
      <c r="AA132" s="39">
        <f t="shared" si="14"/>
        <v>0</v>
      </c>
      <c r="AG132" s="63">
        <f t="shared" si="15"/>
        <v>0</v>
      </c>
      <c r="AH132" s="59">
        <f t="shared" si="16"/>
        <v>0</v>
      </c>
      <c r="AI132" s="69">
        <f t="shared" si="17"/>
        <v>0</v>
      </c>
    </row>
    <row r="133" spans="1:35" s="11" customFormat="1" ht="27" customHeight="1" x14ac:dyDescent="0.2">
      <c r="A133" s="7" t="s">
        <v>124</v>
      </c>
      <c r="B133" s="7" t="s">
        <v>310</v>
      </c>
      <c r="C133" s="8" t="s">
        <v>716</v>
      </c>
      <c r="D133" s="15"/>
      <c r="E133" s="10"/>
      <c r="F133" s="10"/>
      <c r="G133" s="10"/>
      <c r="H133" s="10">
        <v>1</v>
      </c>
      <c r="I133" s="26">
        <f t="shared" si="12"/>
        <v>0.5</v>
      </c>
      <c r="J133" s="7" t="s">
        <v>124</v>
      </c>
      <c r="K133" s="7" t="s">
        <v>310</v>
      </c>
      <c r="L133" s="7" t="s">
        <v>408</v>
      </c>
      <c r="M133" s="15"/>
      <c r="N133" s="10"/>
      <c r="O133" s="10">
        <v>2</v>
      </c>
      <c r="P133" s="10"/>
      <c r="Q133" s="25"/>
      <c r="R133" s="31">
        <f t="shared" si="13"/>
        <v>2</v>
      </c>
      <c r="S133" s="7" t="s">
        <v>124</v>
      </c>
      <c r="T133" s="7" t="s">
        <v>310</v>
      </c>
      <c r="U133" s="7" t="s">
        <v>549</v>
      </c>
      <c r="V133" s="15"/>
      <c r="W133" s="10"/>
      <c r="X133" s="10">
        <v>2</v>
      </c>
      <c r="Y133" s="10"/>
      <c r="Z133" s="25"/>
      <c r="AA133" s="39">
        <f t="shared" si="14"/>
        <v>2</v>
      </c>
      <c r="AG133" s="63">
        <f t="shared" si="15"/>
        <v>0</v>
      </c>
      <c r="AH133" s="59">
        <f t="shared" si="16"/>
        <v>2</v>
      </c>
      <c r="AI133" s="69">
        <f t="shared" si="17"/>
        <v>2</v>
      </c>
    </row>
    <row r="134" spans="1:35" s="12" customFormat="1" ht="27" customHeight="1" x14ac:dyDescent="0.2">
      <c r="A134" s="7" t="s">
        <v>802</v>
      </c>
      <c r="B134" s="7" t="s">
        <v>803</v>
      </c>
      <c r="C134" s="8" t="s">
        <v>828</v>
      </c>
      <c r="D134" s="15"/>
      <c r="E134" s="10"/>
      <c r="F134" s="10"/>
      <c r="G134" s="10"/>
      <c r="H134" s="10"/>
      <c r="I134" s="26">
        <f t="shared" si="12"/>
        <v>0</v>
      </c>
      <c r="J134" s="7" t="s">
        <v>802</v>
      </c>
      <c r="K134" s="7" t="s">
        <v>803</v>
      </c>
      <c r="L134" s="7" t="s">
        <v>947</v>
      </c>
      <c r="M134" s="15"/>
      <c r="N134" s="10"/>
      <c r="O134" s="10"/>
      <c r="P134" s="10"/>
      <c r="Q134" s="25"/>
      <c r="R134" s="31">
        <f t="shared" si="13"/>
        <v>0</v>
      </c>
      <c r="S134" s="7" t="s">
        <v>802</v>
      </c>
      <c r="T134" s="7" t="s">
        <v>803</v>
      </c>
      <c r="U134" s="7" t="s">
        <v>842</v>
      </c>
      <c r="V134" s="15"/>
      <c r="W134" s="10"/>
      <c r="X134" s="10"/>
      <c r="Y134" s="10"/>
      <c r="Z134" s="25"/>
      <c r="AA134" s="39">
        <f t="shared" si="14"/>
        <v>0</v>
      </c>
      <c r="AG134" s="63">
        <f t="shared" si="15"/>
        <v>0</v>
      </c>
      <c r="AH134" s="59">
        <f t="shared" si="16"/>
        <v>0</v>
      </c>
      <c r="AI134" s="69">
        <f t="shared" si="17"/>
        <v>0</v>
      </c>
    </row>
    <row r="135" spans="1:35" s="11" customFormat="1" ht="27" customHeight="1" x14ac:dyDescent="0.2">
      <c r="A135" s="7" t="s">
        <v>125</v>
      </c>
      <c r="B135" s="7" t="s">
        <v>311</v>
      </c>
      <c r="C135" s="8" t="s">
        <v>717</v>
      </c>
      <c r="D135" s="15">
        <v>2</v>
      </c>
      <c r="E135" s="10"/>
      <c r="F135" s="10"/>
      <c r="G135" s="10"/>
      <c r="H135" s="10"/>
      <c r="I135" s="26">
        <f t="shared" si="12"/>
        <v>2</v>
      </c>
      <c r="J135" s="7" t="s">
        <v>125</v>
      </c>
      <c r="K135" s="7" t="s">
        <v>311</v>
      </c>
      <c r="L135" s="7" t="s">
        <v>948</v>
      </c>
      <c r="M135" s="15"/>
      <c r="N135" s="10"/>
      <c r="O135" s="10">
        <v>2</v>
      </c>
      <c r="P135" s="10"/>
      <c r="Q135" s="25"/>
      <c r="R135" s="31">
        <f t="shared" si="13"/>
        <v>2</v>
      </c>
      <c r="S135" s="7" t="s">
        <v>125</v>
      </c>
      <c r="T135" s="7" t="s">
        <v>311</v>
      </c>
      <c r="U135" s="7" t="s">
        <v>550</v>
      </c>
      <c r="V135" s="15"/>
      <c r="W135" s="10"/>
      <c r="X135" s="10">
        <v>2</v>
      </c>
      <c r="Y135" s="10"/>
      <c r="Z135" s="25"/>
      <c r="AA135" s="39">
        <f t="shared" si="14"/>
        <v>2</v>
      </c>
      <c r="AG135" s="63">
        <f t="shared" si="15"/>
        <v>0</v>
      </c>
      <c r="AH135" s="59">
        <f t="shared" si="16"/>
        <v>2</v>
      </c>
      <c r="AI135" s="69">
        <f t="shared" si="17"/>
        <v>2</v>
      </c>
    </row>
    <row r="136" spans="1:35" s="11" customFormat="1" ht="27" customHeight="1" x14ac:dyDescent="0.2">
      <c r="A136" s="7" t="s">
        <v>126</v>
      </c>
      <c r="B136" s="7" t="s">
        <v>312</v>
      </c>
      <c r="C136" s="8" t="s">
        <v>718</v>
      </c>
      <c r="D136" s="15"/>
      <c r="E136" s="10"/>
      <c r="F136" s="10"/>
      <c r="G136" s="10">
        <v>2</v>
      </c>
      <c r="H136" s="10"/>
      <c r="I136" s="26">
        <f t="shared" si="12"/>
        <v>2</v>
      </c>
      <c r="J136" s="7" t="s">
        <v>126</v>
      </c>
      <c r="K136" s="7" t="s">
        <v>312</v>
      </c>
      <c r="L136" s="7" t="s">
        <v>949</v>
      </c>
      <c r="M136" s="15"/>
      <c r="N136" s="10"/>
      <c r="O136" s="10"/>
      <c r="P136" s="10">
        <v>2</v>
      </c>
      <c r="Q136" s="25"/>
      <c r="R136" s="31">
        <f t="shared" si="13"/>
        <v>2</v>
      </c>
      <c r="S136" s="7" t="s">
        <v>126</v>
      </c>
      <c r="T136" s="7" t="s">
        <v>312</v>
      </c>
      <c r="U136" s="7" t="s">
        <v>551</v>
      </c>
      <c r="V136" s="15">
        <v>2</v>
      </c>
      <c r="W136" s="10"/>
      <c r="X136" s="10"/>
      <c r="Y136" s="10"/>
      <c r="Z136" s="25"/>
      <c r="AA136" s="39">
        <f t="shared" si="14"/>
        <v>2</v>
      </c>
      <c r="AG136" s="63">
        <f t="shared" si="15"/>
        <v>2</v>
      </c>
      <c r="AH136" s="59">
        <f t="shared" si="16"/>
        <v>2</v>
      </c>
      <c r="AI136" s="69">
        <f t="shared" si="17"/>
        <v>0</v>
      </c>
    </row>
    <row r="137" spans="1:35" s="11" customFormat="1" ht="27" customHeight="1" x14ac:dyDescent="0.2">
      <c r="A137" s="7" t="s">
        <v>127</v>
      </c>
      <c r="B137" s="7" t="s">
        <v>313</v>
      </c>
      <c r="C137" s="8" t="s">
        <v>719</v>
      </c>
      <c r="D137" s="15"/>
      <c r="E137" s="10"/>
      <c r="F137" s="10"/>
      <c r="G137" s="10"/>
      <c r="H137" s="10"/>
      <c r="I137" s="26">
        <f t="shared" si="12"/>
        <v>0</v>
      </c>
      <c r="J137" s="7" t="s">
        <v>127</v>
      </c>
      <c r="K137" s="7" t="s">
        <v>313</v>
      </c>
      <c r="L137" s="7" t="s">
        <v>950</v>
      </c>
      <c r="M137" s="15"/>
      <c r="N137" s="10"/>
      <c r="O137" s="10"/>
      <c r="P137" s="10"/>
      <c r="Q137" s="25"/>
      <c r="R137" s="31">
        <f t="shared" si="13"/>
        <v>0</v>
      </c>
      <c r="S137" s="7" t="s">
        <v>127</v>
      </c>
      <c r="T137" s="7" t="s">
        <v>313</v>
      </c>
      <c r="U137" s="7" t="s">
        <v>552</v>
      </c>
      <c r="V137" s="15"/>
      <c r="W137" s="10"/>
      <c r="X137" s="10"/>
      <c r="Y137" s="10"/>
      <c r="Z137" s="25"/>
      <c r="AA137" s="39">
        <f t="shared" si="14"/>
        <v>0</v>
      </c>
      <c r="AG137" s="63">
        <f t="shared" si="15"/>
        <v>0</v>
      </c>
      <c r="AH137" s="59">
        <f t="shared" si="16"/>
        <v>0</v>
      </c>
      <c r="AI137" s="69">
        <f t="shared" si="17"/>
        <v>0</v>
      </c>
    </row>
    <row r="138" spans="1:35" s="11" customFormat="1" ht="27" customHeight="1" x14ac:dyDescent="0.2">
      <c r="A138" s="7" t="s">
        <v>128</v>
      </c>
      <c r="B138" s="7" t="s">
        <v>314</v>
      </c>
      <c r="C138" s="8" t="s">
        <v>720</v>
      </c>
      <c r="D138" s="15"/>
      <c r="E138" s="10"/>
      <c r="F138" s="10"/>
      <c r="G138" s="10"/>
      <c r="H138" s="10">
        <v>2</v>
      </c>
      <c r="I138" s="26">
        <f t="shared" si="12"/>
        <v>1</v>
      </c>
      <c r="J138" s="7" t="s">
        <v>128</v>
      </c>
      <c r="K138" s="7" t="s">
        <v>314</v>
      </c>
      <c r="L138" s="7" t="s">
        <v>951</v>
      </c>
      <c r="M138" s="15">
        <v>1</v>
      </c>
      <c r="N138" s="10"/>
      <c r="O138" s="10"/>
      <c r="P138" s="10">
        <v>1</v>
      </c>
      <c r="Q138" s="25"/>
      <c r="R138" s="31">
        <f t="shared" si="13"/>
        <v>2</v>
      </c>
      <c r="S138" s="7" t="s">
        <v>128</v>
      </c>
      <c r="T138" s="7" t="s">
        <v>314</v>
      </c>
      <c r="U138" s="7" t="s">
        <v>553</v>
      </c>
      <c r="V138" s="15"/>
      <c r="W138" s="10"/>
      <c r="X138" s="10">
        <v>2</v>
      </c>
      <c r="Y138" s="10"/>
      <c r="Z138" s="25"/>
      <c r="AA138" s="39">
        <f t="shared" si="14"/>
        <v>2</v>
      </c>
      <c r="AG138" s="63">
        <f t="shared" si="15"/>
        <v>0</v>
      </c>
      <c r="AH138" s="59">
        <f t="shared" si="16"/>
        <v>1</v>
      </c>
      <c r="AI138" s="69">
        <f t="shared" si="17"/>
        <v>2</v>
      </c>
    </row>
    <row r="139" spans="1:35" s="11" customFormat="1" ht="27" customHeight="1" x14ac:dyDescent="0.2">
      <c r="A139" s="7" t="s">
        <v>129</v>
      </c>
      <c r="B139" s="7" t="s">
        <v>315</v>
      </c>
      <c r="C139" s="8" t="s">
        <v>721</v>
      </c>
      <c r="D139" s="15"/>
      <c r="E139" s="10"/>
      <c r="F139" s="10"/>
      <c r="G139" s="10"/>
      <c r="H139" s="10">
        <v>1</v>
      </c>
      <c r="I139" s="26">
        <f t="shared" si="12"/>
        <v>0.5</v>
      </c>
      <c r="J139" s="7" t="s">
        <v>129</v>
      </c>
      <c r="K139" s="7" t="s">
        <v>315</v>
      </c>
      <c r="L139" s="7" t="s">
        <v>952</v>
      </c>
      <c r="M139" s="15"/>
      <c r="N139" s="10"/>
      <c r="O139" s="10"/>
      <c r="P139" s="10"/>
      <c r="Q139" s="25"/>
      <c r="R139" s="31">
        <f t="shared" si="13"/>
        <v>0</v>
      </c>
      <c r="S139" s="7" t="s">
        <v>129</v>
      </c>
      <c r="T139" s="7" t="s">
        <v>315</v>
      </c>
      <c r="U139" s="7" t="s">
        <v>554</v>
      </c>
      <c r="V139" s="15"/>
      <c r="W139" s="10"/>
      <c r="X139" s="10">
        <v>2</v>
      </c>
      <c r="Y139" s="10"/>
      <c r="Z139" s="25"/>
      <c r="AA139" s="39">
        <f t="shared" si="14"/>
        <v>2</v>
      </c>
      <c r="AG139" s="63">
        <f t="shared" si="15"/>
        <v>0</v>
      </c>
      <c r="AH139" s="59">
        <f t="shared" si="16"/>
        <v>0</v>
      </c>
      <c r="AI139" s="69">
        <f t="shared" si="17"/>
        <v>2</v>
      </c>
    </row>
    <row r="140" spans="1:35" s="11" customFormat="1" ht="27" customHeight="1" x14ac:dyDescent="0.2">
      <c r="A140" s="7" t="s">
        <v>130</v>
      </c>
      <c r="B140" s="7" t="s">
        <v>316</v>
      </c>
      <c r="C140" s="8" t="s">
        <v>722</v>
      </c>
      <c r="D140" s="15"/>
      <c r="E140" s="10"/>
      <c r="F140" s="10"/>
      <c r="G140" s="10"/>
      <c r="H140" s="10"/>
      <c r="I140" s="26">
        <f t="shared" si="12"/>
        <v>0</v>
      </c>
      <c r="J140" s="7" t="s">
        <v>130</v>
      </c>
      <c r="K140" s="7" t="s">
        <v>316</v>
      </c>
      <c r="L140" s="7" t="s">
        <v>409</v>
      </c>
      <c r="M140" s="15"/>
      <c r="N140" s="10"/>
      <c r="O140" s="10">
        <v>2</v>
      </c>
      <c r="P140" s="10"/>
      <c r="Q140" s="25"/>
      <c r="R140" s="31">
        <f t="shared" si="13"/>
        <v>2</v>
      </c>
      <c r="S140" s="7" t="s">
        <v>130</v>
      </c>
      <c r="T140" s="7" t="s">
        <v>316</v>
      </c>
      <c r="U140" s="7" t="s">
        <v>555</v>
      </c>
      <c r="V140" s="15"/>
      <c r="W140" s="10"/>
      <c r="X140" s="10">
        <v>2</v>
      </c>
      <c r="Y140" s="10"/>
      <c r="Z140" s="25"/>
      <c r="AA140" s="39">
        <f t="shared" si="14"/>
        <v>2</v>
      </c>
      <c r="AG140" s="63">
        <f t="shared" si="15"/>
        <v>0</v>
      </c>
      <c r="AH140" s="59">
        <f t="shared" si="16"/>
        <v>2</v>
      </c>
      <c r="AI140" s="69">
        <f t="shared" si="17"/>
        <v>2</v>
      </c>
    </row>
    <row r="141" spans="1:35" s="11" customFormat="1" ht="27" customHeight="1" x14ac:dyDescent="0.2">
      <c r="A141" s="7" t="s">
        <v>131</v>
      </c>
      <c r="B141" s="7" t="s">
        <v>317</v>
      </c>
      <c r="C141" s="8" t="s">
        <v>723</v>
      </c>
      <c r="D141" s="15"/>
      <c r="E141" s="10"/>
      <c r="F141" s="10"/>
      <c r="G141" s="10"/>
      <c r="H141" s="10">
        <v>1</v>
      </c>
      <c r="I141" s="26">
        <f t="shared" si="12"/>
        <v>0.5</v>
      </c>
      <c r="J141" s="7" t="s">
        <v>131</v>
      </c>
      <c r="K141" s="7" t="s">
        <v>317</v>
      </c>
      <c r="L141" s="7" t="s">
        <v>953</v>
      </c>
      <c r="M141" s="15"/>
      <c r="N141" s="10"/>
      <c r="O141" s="10"/>
      <c r="P141" s="10">
        <v>2</v>
      </c>
      <c r="Q141" s="25"/>
      <c r="R141" s="31">
        <f t="shared" si="13"/>
        <v>2</v>
      </c>
      <c r="S141" s="7" t="s">
        <v>131</v>
      </c>
      <c r="T141" s="7" t="s">
        <v>317</v>
      </c>
      <c r="U141" s="7" t="s">
        <v>556</v>
      </c>
      <c r="V141" s="15"/>
      <c r="W141" s="10"/>
      <c r="X141" s="10"/>
      <c r="Y141" s="10">
        <v>2</v>
      </c>
      <c r="Z141" s="25"/>
      <c r="AA141" s="39">
        <f t="shared" si="14"/>
        <v>2</v>
      </c>
      <c r="AG141" s="63">
        <f t="shared" si="15"/>
        <v>0</v>
      </c>
      <c r="AH141" s="59">
        <f t="shared" si="16"/>
        <v>2</v>
      </c>
      <c r="AI141" s="69">
        <f t="shared" si="17"/>
        <v>2</v>
      </c>
    </row>
    <row r="142" spans="1:35" s="11" customFormat="1" ht="27" customHeight="1" x14ac:dyDescent="0.2">
      <c r="A142" s="7" t="s">
        <v>132</v>
      </c>
      <c r="B142" s="7" t="s">
        <v>318</v>
      </c>
      <c r="C142" s="8" t="s">
        <v>724</v>
      </c>
      <c r="D142" s="15"/>
      <c r="E142" s="10"/>
      <c r="F142" s="10"/>
      <c r="G142" s="10"/>
      <c r="H142" s="10"/>
      <c r="I142" s="26">
        <f t="shared" si="12"/>
        <v>0</v>
      </c>
      <c r="J142" s="7" t="s">
        <v>132</v>
      </c>
      <c r="K142" s="7" t="s">
        <v>318</v>
      </c>
      <c r="L142" s="7" t="s">
        <v>410</v>
      </c>
      <c r="M142" s="15"/>
      <c r="N142" s="10"/>
      <c r="O142" s="10"/>
      <c r="P142" s="10">
        <v>2</v>
      </c>
      <c r="Q142" s="25"/>
      <c r="R142" s="31">
        <f t="shared" si="13"/>
        <v>2</v>
      </c>
      <c r="S142" s="7" t="s">
        <v>132</v>
      </c>
      <c r="T142" s="7" t="s">
        <v>318</v>
      </c>
      <c r="U142" s="7" t="s">
        <v>557</v>
      </c>
      <c r="V142" s="15"/>
      <c r="W142" s="10"/>
      <c r="X142" s="10">
        <v>2</v>
      </c>
      <c r="Y142" s="10"/>
      <c r="Z142" s="25"/>
      <c r="AA142" s="39">
        <f t="shared" si="14"/>
        <v>2</v>
      </c>
      <c r="AG142" s="63">
        <f t="shared" si="15"/>
        <v>0</v>
      </c>
      <c r="AH142" s="59">
        <f t="shared" si="16"/>
        <v>2</v>
      </c>
      <c r="AI142" s="69">
        <f t="shared" si="17"/>
        <v>2</v>
      </c>
    </row>
    <row r="143" spans="1:35" s="11" customFormat="1" ht="27" customHeight="1" x14ac:dyDescent="0.2">
      <c r="A143" s="7" t="s">
        <v>133</v>
      </c>
      <c r="B143" s="7" t="s">
        <v>319</v>
      </c>
      <c r="C143" s="8" t="s">
        <v>725</v>
      </c>
      <c r="D143" s="15"/>
      <c r="E143" s="10"/>
      <c r="F143" s="10">
        <v>2</v>
      </c>
      <c r="G143" s="10"/>
      <c r="H143" s="10"/>
      <c r="I143" s="26">
        <f t="shared" si="12"/>
        <v>2</v>
      </c>
      <c r="J143" s="7" t="s">
        <v>133</v>
      </c>
      <c r="K143" s="7" t="s">
        <v>319</v>
      </c>
      <c r="L143" s="7" t="s">
        <v>954</v>
      </c>
      <c r="M143" s="15"/>
      <c r="N143" s="10"/>
      <c r="O143" s="10">
        <v>2</v>
      </c>
      <c r="P143" s="10"/>
      <c r="Q143" s="25"/>
      <c r="R143" s="31">
        <f t="shared" si="13"/>
        <v>2</v>
      </c>
      <c r="S143" s="7" t="s">
        <v>133</v>
      </c>
      <c r="T143" s="7" t="s">
        <v>319</v>
      </c>
      <c r="U143" s="7" t="s">
        <v>558</v>
      </c>
      <c r="V143" s="15"/>
      <c r="W143" s="10"/>
      <c r="X143" s="10"/>
      <c r="Y143" s="10">
        <v>2</v>
      </c>
      <c r="Z143" s="25"/>
      <c r="AA143" s="39">
        <f t="shared" si="14"/>
        <v>2</v>
      </c>
      <c r="AG143" s="63">
        <f t="shared" si="15"/>
        <v>2</v>
      </c>
      <c r="AH143" s="59">
        <f t="shared" si="16"/>
        <v>2</v>
      </c>
      <c r="AI143" s="69">
        <f t="shared" si="17"/>
        <v>2</v>
      </c>
    </row>
    <row r="144" spans="1:35" s="11" customFormat="1" ht="27" customHeight="1" x14ac:dyDescent="0.2">
      <c r="A144" s="7" t="s">
        <v>134</v>
      </c>
      <c r="B144" s="7" t="s">
        <v>320</v>
      </c>
      <c r="C144" s="8" t="s">
        <v>726</v>
      </c>
      <c r="D144" s="15"/>
      <c r="E144" s="10"/>
      <c r="F144" s="10"/>
      <c r="G144" s="10"/>
      <c r="H144" s="10">
        <v>1</v>
      </c>
      <c r="I144" s="26">
        <f t="shared" si="12"/>
        <v>0.5</v>
      </c>
      <c r="J144" s="7" t="s">
        <v>134</v>
      </c>
      <c r="K144" s="7" t="s">
        <v>320</v>
      </c>
      <c r="L144" s="7" t="s">
        <v>955</v>
      </c>
      <c r="M144" s="15"/>
      <c r="N144" s="10"/>
      <c r="O144" s="10"/>
      <c r="P144" s="10">
        <v>2</v>
      </c>
      <c r="Q144" s="25"/>
      <c r="R144" s="31">
        <f t="shared" si="13"/>
        <v>2</v>
      </c>
      <c r="S144" s="7" t="s">
        <v>134</v>
      </c>
      <c r="T144" s="7" t="s">
        <v>320</v>
      </c>
      <c r="U144" s="7" t="s">
        <v>559</v>
      </c>
      <c r="V144" s="15"/>
      <c r="W144" s="10"/>
      <c r="X144" s="10"/>
      <c r="Y144" s="10">
        <v>2</v>
      </c>
      <c r="Z144" s="25"/>
      <c r="AA144" s="39">
        <f t="shared" si="14"/>
        <v>2</v>
      </c>
      <c r="AG144" s="63">
        <f t="shared" si="15"/>
        <v>0</v>
      </c>
      <c r="AH144" s="59">
        <f t="shared" si="16"/>
        <v>2</v>
      </c>
      <c r="AI144" s="69">
        <f t="shared" si="17"/>
        <v>2</v>
      </c>
    </row>
    <row r="145" spans="1:35" s="11" customFormat="1" ht="27" customHeight="1" x14ac:dyDescent="0.2">
      <c r="A145" s="7" t="s">
        <v>135</v>
      </c>
      <c r="B145" s="7" t="s">
        <v>321</v>
      </c>
      <c r="C145" s="8" t="s">
        <v>727</v>
      </c>
      <c r="D145" s="15"/>
      <c r="E145" s="10"/>
      <c r="F145" s="10"/>
      <c r="G145" s="10"/>
      <c r="H145" s="10">
        <v>1</v>
      </c>
      <c r="I145" s="26">
        <f t="shared" si="12"/>
        <v>0.5</v>
      </c>
      <c r="J145" s="7" t="s">
        <v>135</v>
      </c>
      <c r="K145" s="7" t="s">
        <v>321</v>
      </c>
      <c r="L145" s="7" t="s">
        <v>956</v>
      </c>
      <c r="M145" s="15"/>
      <c r="N145" s="10"/>
      <c r="O145" s="10"/>
      <c r="P145" s="10"/>
      <c r="Q145" s="25"/>
      <c r="R145" s="31">
        <f t="shared" si="13"/>
        <v>0</v>
      </c>
      <c r="S145" s="7" t="s">
        <v>135</v>
      </c>
      <c r="T145" s="7" t="s">
        <v>321</v>
      </c>
      <c r="U145" s="7" t="s">
        <v>560</v>
      </c>
      <c r="V145" s="15">
        <v>2</v>
      </c>
      <c r="W145" s="10"/>
      <c r="X145" s="10"/>
      <c r="Y145" s="10"/>
      <c r="Z145" s="25"/>
      <c r="AA145" s="39">
        <f t="shared" si="14"/>
        <v>2</v>
      </c>
      <c r="AG145" s="63">
        <f t="shared" si="15"/>
        <v>0</v>
      </c>
      <c r="AH145" s="59">
        <f t="shared" si="16"/>
        <v>0</v>
      </c>
      <c r="AI145" s="69">
        <f t="shared" si="17"/>
        <v>0</v>
      </c>
    </row>
    <row r="146" spans="1:35" s="11" customFormat="1" ht="27" customHeight="1" x14ac:dyDescent="0.2">
      <c r="A146" s="7" t="s">
        <v>136</v>
      </c>
      <c r="B146" s="7" t="s">
        <v>322</v>
      </c>
      <c r="C146" s="8" t="s">
        <v>728</v>
      </c>
      <c r="D146" s="15"/>
      <c r="E146" s="10"/>
      <c r="F146" s="10"/>
      <c r="G146" s="10"/>
      <c r="H146" s="10"/>
      <c r="I146" s="26">
        <f t="shared" si="12"/>
        <v>0</v>
      </c>
      <c r="J146" s="7" t="s">
        <v>136</v>
      </c>
      <c r="K146" s="7" t="s">
        <v>322</v>
      </c>
      <c r="L146" s="7" t="s">
        <v>957</v>
      </c>
      <c r="M146" s="15"/>
      <c r="N146" s="10">
        <v>2</v>
      </c>
      <c r="O146" s="10"/>
      <c r="P146" s="10">
        <v>2</v>
      </c>
      <c r="Q146" s="25"/>
      <c r="R146" s="31">
        <f t="shared" si="13"/>
        <v>4</v>
      </c>
      <c r="S146" s="7" t="s">
        <v>136</v>
      </c>
      <c r="T146" s="7" t="s">
        <v>322</v>
      </c>
      <c r="U146" s="7" t="s">
        <v>561</v>
      </c>
      <c r="V146" s="15"/>
      <c r="W146" s="10"/>
      <c r="X146" s="10"/>
      <c r="Y146" s="10"/>
      <c r="Z146" s="25"/>
      <c r="AA146" s="39">
        <f t="shared" si="14"/>
        <v>0</v>
      </c>
      <c r="AG146" s="63">
        <f t="shared" si="15"/>
        <v>0</v>
      </c>
      <c r="AH146" s="59">
        <f t="shared" si="16"/>
        <v>4</v>
      </c>
      <c r="AI146" s="69">
        <f t="shared" si="17"/>
        <v>0</v>
      </c>
    </row>
    <row r="147" spans="1:35" s="11" customFormat="1" ht="27" customHeight="1" x14ac:dyDescent="0.2">
      <c r="A147" s="7" t="s">
        <v>137</v>
      </c>
      <c r="B147" s="7" t="s">
        <v>323</v>
      </c>
      <c r="C147" s="8" t="s">
        <v>729</v>
      </c>
      <c r="D147" s="15"/>
      <c r="E147" s="10"/>
      <c r="F147" s="10"/>
      <c r="G147" s="10"/>
      <c r="H147" s="10"/>
      <c r="I147" s="26">
        <f t="shared" si="12"/>
        <v>0</v>
      </c>
      <c r="J147" s="7" t="s">
        <v>137</v>
      </c>
      <c r="K147" s="7" t="s">
        <v>323</v>
      </c>
      <c r="L147" s="7" t="s">
        <v>411</v>
      </c>
      <c r="M147" s="15"/>
      <c r="N147" s="10"/>
      <c r="O147" s="10"/>
      <c r="P147" s="10"/>
      <c r="Q147" s="25"/>
      <c r="R147" s="31">
        <f t="shared" si="13"/>
        <v>0</v>
      </c>
      <c r="S147" s="7" t="s">
        <v>137</v>
      </c>
      <c r="T147" s="7" t="s">
        <v>323</v>
      </c>
      <c r="U147" s="7" t="s">
        <v>562</v>
      </c>
      <c r="V147" s="15"/>
      <c r="W147" s="10"/>
      <c r="X147" s="10"/>
      <c r="Y147" s="10">
        <v>2</v>
      </c>
      <c r="Z147" s="25"/>
      <c r="AA147" s="39">
        <f t="shared" si="14"/>
        <v>2</v>
      </c>
      <c r="AG147" s="63">
        <f t="shared" si="15"/>
        <v>0</v>
      </c>
      <c r="AH147" s="59">
        <f t="shared" si="16"/>
        <v>0</v>
      </c>
      <c r="AI147" s="69">
        <f t="shared" si="17"/>
        <v>2</v>
      </c>
    </row>
    <row r="148" spans="1:35" s="11" customFormat="1" ht="27" customHeight="1" x14ac:dyDescent="0.2">
      <c r="A148" s="7" t="s">
        <v>138</v>
      </c>
      <c r="B148" s="7" t="s">
        <v>324</v>
      </c>
      <c r="C148" s="8" t="s">
        <v>730</v>
      </c>
      <c r="D148" s="15">
        <v>2</v>
      </c>
      <c r="E148" s="10"/>
      <c r="F148" s="10"/>
      <c r="G148" s="10"/>
      <c r="H148" s="10"/>
      <c r="I148" s="26">
        <f t="shared" si="12"/>
        <v>2</v>
      </c>
      <c r="J148" s="7" t="s">
        <v>138</v>
      </c>
      <c r="K148" s="7" t="s">
        <v>324</v>
      </c>
      <c r="L148" s="7" t="s">
        <v>958</v>
      </c>
      <c r="M148" s="15"/>
      <c r="N148" s="10"/>
      <c r="O148" s="10"/>
      <c r="P148" s="10">
        <v>2</v>
      </c>
      <c r="Q148" s="25"/>
      <c r="R148" s="31">
        <f t="shared" si="13"/>
        <v>2</v>
      </c>
      <c r="S148" s="7" t="s">
        <v>138</v>
      </c>
      <c r="T148" s="7" t="s">
        <v>324</v>
      </c>
      <c r="U148" s="7" t="s">
        <v>563</v>
      </c>
      <c r="V148" s="15"/>
      <c r="W148" s="10"/>
      <c r="X148" s="10"/>
      <c r="Y148" s="10">
        <v>2</v>
      </c>
      <c r="Z148" s="25"/>
      <c r="AA148" s="39">
        <f t="shared" si="14"/>
        <v>2</v>
      </c>
      <c r="AG148" s="63">
        <f t="shared" si="15"/>
        <v>0</v>
      </c>
      <c r="AH148" s="59">
        <f t="shared" si="16"/>
        <v>2</v>
      </c>
      <c r="AI148" s="69">
        <f t="shared" si="17"/>
        <v>2</v>
      </c>
    </row>
    <row r="149" spans="1:35" s="11" customFormat="1" ht="27" customHeight="1" x14ac:dyDescent="0.2">
      <c r="A149" s="7" t="s">
        <v>139</v>
      </c>
      <c r="B149" s="7" t="s">
        <v>325</v>
      </c>
      <c r="C149" s="8" t="s">
        <v>731</v>
      </c>
      <c r="D149" s="15"/>
      <c r="E149" s="10"/>
      <c r="F149" s="10"/>
      <c r="G149" s="10"/>
      <c r="H149" s="10"/>
      <c r="I149" s="26">
        <f t="shared" si="12"/>
        <v>0</v>
      </c>
      <c r="J149" s="7" t="s">
        <v>139</v>
      </c>
      <c r="K149" s="7" t="s">
        <v>325</v>
      </c>
      <c r="L149" s="7" t="s">
        <v>959</v>
      </c>
      <c r="M149" s="15"/>
      <c r="N149" s="10"/>
      <c r="O149" s="10"/>
      <c r="P149" s="10"/>
      <c r="Q149" s="25"/>
      <c r="R149" s="31">
        <f t="shared" si="13"/>
        <v>0</v>
      </c>
      <c r="S149" s="7" t="s">
        <v>139</v>
      </c>
      <c r="T149" s="7" t="s">
        <v>325</v>
      </c>
      <c r="U149" s="7" t="s">
        <v>564</v>
      </c>
      <c r="V149" s="15"/>
      <c r="W149" s="10"/>
      <c r="X149" s="10"/>
      <c r="Y149" s="10">
        <v>2</v>
      </c>
      <c r="Z149" s="25"/>
      <c r="AA149" s="39">
        <f t="shared" si="14"/>
        <v>2</v>
      </c>
      <c r="AG149" s="63">
        <f t="shared" si="15"/>
        <v>0</v>
      </c>
      <c r="AH149" s="59">
        <f t="shared" si="16"/>
        <v>0</v>
      </c>
      <c r="AI149" s="69">
        <f t="shared" si="17"/>
        <v>2</v>
      </c>
    </row>
    <row r="150" spans="1:35" s="11" customFormat="1" ht="27" customHeight="1" x14ac:dyDescent="0.2">
      <c r="A150" s="7" t="s">
        <v>140</v>
      </c>
      <c r="B150" s="7" t="s">
        <v>326</v>
      </c>
      <c r="C150" s="8" t="s">
        <v>732</v>
      </c>
      <c r="D150" s="15"/>
      <c r="E150" s="10"/>
      <c r="F150" s="10"/>
      <c r="G150" s="10"/>
      <c r="H150" s="10"/>
      <c r="I150" s="26">
        <f t="shared" si="12"/>
        <v>0</v>
      </c>
      <c r="J150" s="7" t="s">
        <v>140</v>
      </c>
      <c r="K150" s="7" t="s">
        <v>326</v>
      </c>
      <c r="L150" s="7" t="s">
        <v>960</v>
      </c>
      <c r="M150" s="15"/>
      <c r="N150" s="10"/>
      <c r="O150" s="10"/>
      <c r="P150" s="10"/>
      <c r="Q150" s="25"/>
      <c r="R150" s="31">
        <f t="shared" si="13"/>
        <v>0</v>
      </c>
      <c r="S150" s="7" t="s">
        <v>140</v>
      </c>
      <c r="T150" s="7" t="s">
        <v>326</v>
      </c>
      <c r="U150" s="7" t="s">
        <v>565</v>
      </c>
      <c r="V150" s="15"/>
      <c r="W150" s="10"/>
      <c r="X150" s="10"/>
      <c r="Y150" s="10"/>
      <c r="Z150" s="25"/>
      <c r="AA150" s="39">
        <f t="shared" si="14"/>
        <v>0</v>
      </c>
      <c r="AG150" s="63">
        <f t="shared" si="15"/>
        <v>0</v>
      </c>
      <c r="AH150" s="59">
        <f t="shared" si="16"/>
        <v>0</v>
      </c>
      <c r="AI150" s="69">
        <f t="shared" si="17"/>
        <v>0</v>
      </c>
    </row>
    <row r="151" spans="1:35" s="11" customFormat="1" ht="27" customHeight="1" x14ac:dyDescent="0.2">
      <c r="A151" s="7" t="s">
        <v>141</v>
      </c>
      <c r="B151" s="7" t="s">
        <v>327</v>
      </c>
      <c r="C151" s="8" t="s">
        <v>733</v>
      </c>
      <c r="D151" s="15"/>
      <c r="E151" s="10"/>
      <c r="F151" s="10"/>
      <c r="G151" s="10"/>
      <c r="H151" s="10"/>
      <c r="I151" s="26">
        <f t="shared" si="12"/>
        <v>0</v>
      </c>
      <c r="J151" s="7" t="s">
        <v>141</v>
      </c>
      <c r="K151" s="7" t="s">
        <v>327</v>
      </c>
      <c r="L151" s="7" t="s">
        <v>961</v>
      </c>
      <c r="M151" s="15"/>
      <c r="N151" s="10"/>
      <c r="O151" s="10"/>
      <c r="P151" s="10"/>
      <c r="Q151" s="25"/>
      <c r="R151" s="31">
        <f t="shared" si="13"/>
        <v>0</v>
      </c>
      <c r="S151" s="7" t="s">
        <v>141</v>
      </c>
      <c r="T151" s="7" t="s">
        <v>327</v>
      </c>
      <c r="U151" s="7" t="s">
        <v>566</v>
      </c>
      <c r="V151" s="15"/>
      <c r="W151" s="10"/>
      <c r="X151" s="10">
        <v>2</v>
      </c>
      <c r="Y151" s="10"/>
      <c r="Z151" s="25"/>
      <c r="AA151" s="39">
        <f t="shared" si="14"/>
        <v>2</v>
      </c>
      <c r="AG151" s="63">
        <f t="shared" si="15"/>
        <v>0</v>
      </c>
      <c r="AH151" s="59">
        <f t="shared" si="16"/>
        <v>0</v>
      </c>
      <c r="AI151" s="69">
        <f t="shared" si="17"/>
        <v>2</v>
      </c>
    </row>
    <row r="152" spans="1:35" s="11" customFormat="1" ht="27" customHeight="1" x14ac:dyDescent="0.2">
      <c r="A152" s="7" t="s">
        <v>142</v>
      </c>
      <c r="B152" s="7" t="s">
        <v>328</v>
      </c>
      <c r="C152" s="8" t="s">
        <v>734</v>
      </c>
      <c r="D152" s="15"/>
      <c r="E152" s="10"/>
      <c r="F152" s="10"/>
      <c r="G152" s="10"/>
      <c r="H152" s="10"/>
      <c r="I152" s="26">
        <f t="shared" si="12"/>
        <v>0</v>
      </c>
      <c r="J152" s="7" t="s">
        <v>142</v>
      </c>
      <c r="K152" s="7" t="s">
        <v>328</v>
      </c>
      <c r="L152" s="7" t="s">
        <v>412</v>
      </c>
      <c r="M152" s="15"/>
      <c r="N152" s="10"/>
      <c r="O152" s="10"/>
      <c r="P152" s="10"/>
      <c r="Q152" s="25"/>
      <c r="R152" s="31">
        <f t="shared" si="13"/>
        <v>0</v>
      </c>
      <c r="S152" s="7" t="s">
        <v>142</v>
      </c>
      <c r="T152" s="7" t="s">
        <v>328</v>
      </c>
      <c r="U152" s="7" t="s">
        <v>567</v>
      </c>
      <c r="V152" s="15"/>
      <c r="W152" s="10"/>
      <c r="X152" s="10">
        <v>2</v>
      </c>
      <c r="Y152" s="10"/>
      <c r="Z152" s="25"/>
      <c r="AA152" s="39">
        <f t="shared" si="14"/>
        <v>2</v>
      </c>
      <c r="AG152" s="63">
        <f t="shared" si="15"/>
        <v>0</v>
      </c>
      <c r="AH152" s="59">
        <f t="shared" si="16"/>
        <v>0</v>
      </c>
      <c r="AI152" s="69">
        <f t="shared" si="17"/>
        <v>2</v>
      </c>
    </row>
    <row r="153" spans="1:35" s="11" customFormat="1" ht="27" customHeight="1" x14ac:dyDescent="0.2">
      <c r="A153" s="7" t="s">
        <v>143</v>
      </c>
      <c r="B153" s="7" t="s">
        <v>329</v>
      </c>
      <c r="C153" s="8" t="s">
        <v>735</v>
      </c>
      <c r="D153" s="15"/>
      <c r="E153" s="10"/>
      <c r="F153" s="10"/>
      <c r="G153" s="10"/>
      <c r="H153" s="10">
        <v>2</v>
      </c>
      <c r="I153" s="26">
        <f t="shared" si="12"/>
        <v>1</v>
      </c>
      <c r="J153" s="7" t="s">
        <v>143</v>
      </c>
      <c r="K153" s="7" t="s">
        <v>329</v>
      </c>
      <c r="L153" s="7" t="s">
        <v>413</v>
      </c>
      <c r="M153" s="15"/>
      <c r="N153" s="10"/>
      <c r="O153" s="10"/>
      <c r="P153" s="10"/>
      <c r="Q153" s="25"/>
      <c r="R153" s="31">
        <f t="shared" si="13"/>
        <v>0</v>
      </c>
      <c r="S153" s="7" t="s">
        <v>143</v>
      </c>
      <c r="T153" s="7" t="s">
        <v>329</v>
      </c>
      <c r="U153" s="7" t="s">
        <v>568</v>
      </c>
      <c r="V153" s="15"/>
      <c r="W153" s="10"/>
      <c r="X153" s="10"/>
      <c r="Y153" s="10">
        <v>2</v>
      </c>
      <c r="Z153" s="25"/>
      <c r="AA153" s="39">
        <f t="shared" si="14"/>
        <v>2</v>
      </c>
      <c r="AG153" s="63">
        <f t="shared" si="15"/>
        <v>0</v>
      </c>
      <c r="AH153" s="59">
        <f t="shared" si="16"/>
        <v>0</v>
      </c>
      <c r="AI153" s="69">
        <f t="shared" si="17"/>
        <v>2</v>
      </c>
    </row>
    <row r="154" spans="1:35" s="11" customFormat="1" ht="27" customHeight="1" x14ac:dyDescent="0.2">
      <c r="A154" s="7" t="s">
        <v>144</v>
      </c>
      <c r="B154" s="7" t="s">
        <v>330</v>
      </c>
      <c r="C154" s="8" t="s">
        <v>736</v>
      </c>
      <c r="D154" s="15"/>
      <c r="E154" s="10"/>
      <c r="F154" s="10"/>
      <c r="G154" s="10"/>
      <c r="H154" s="10"/>
      <c r="I154" s="26">
        <f t="shared" si="12"/>
        <v>0</v>
      </c>
      <c r="J154" s="7" t="s">
        <v>144</v>
      </c>
      <c r="K154" s="7" t="s">
        <v>330</v>
      </c>
      <c r="L154" s="7" t="s">
        <v>414</v>
      </c>
      <c r="M154" s="15"/>
      <c r="N154" s="10"/>
      <c r="O154" s="10"/>
      <c r="P154" s="10"/>
      <c r="Q154" s="25"/>
      <c r="R154" s="31">
        <f t="shared" si="13"/>
        <v>0</v>
      </c>
      <c r="S154" s="7" t="s">
        <v>144</v>
      </c>
      <c r="T154" s="7" t="s">
        <v>330</v>
      </c>
      <c r="U154" s="7" t="s">
        <v>569</v>
      </c>
      <c r="V154" s="15"/>
      <c r="W154" s="10"/>
      <c r="X154" s="10"/>
      <c r="Y154" s="10">
        <v>2</v>
      </c>
      <c r="Z154" s="25"/>
      <c r="AA154" s="39">
        <f t="shared" si="14"/>
        <v>2</v>
      </c>
      <c r="AG154" s="63">
        <f t="shared" si="15"/>
        <v>0</v>
      </c>
      <c r="AH154" s="59">
        <f t="shared" si="16"/>
        <v>0</v>
      </c>
      <c r="AI154" s="69">
        <f t="shared" si="17"/>
        <v>2</v>
      </c>
    </row>
    <row r="155" spans="1:35" s="11" customFormat="1" ht="27" customHeight="1" x14ac:dyDescent="0.2">
      <c r="A155" s="7" t="s">
        <v>145</v>
      </c>
      <c r="B155" s="7" t="s">
        <v>331</v>
      </c>
      <c r="C155" s="8" t="s">
        <v>737</v>
      </c>
      <c r="D155" s="15"/>
      <c r="E155" s="10"/>
      <c r="F155" s="10">
        <v>2</v>
      </c>
      <c r="G155" s="10"/>
      <c r="H155" s="10"/>
      <c r="I155" s="26">
        <f t="shared" si="12"/>
        <v>2</v>
      </c>
      <c r="J155" s="7" t="s">
        <v>145</v>
      </c>
      <c r="K155" s="7" t="s">
        <v>331</v>
      </c>
      <c r="L155" s="7" t="s">
        <v>962</v>
      </c>
      <c r="M155" s="15"/>
      <c r="N155" s="10"/>
      <c r="O155" s="10"/>
      <c r="P155" s="10">
        <v>2</v>
      </c>
      <c r="Q155" s="25"/>
      <c r="R155" s="31">
        <f t="shared" si="13"/>
        <v>2</v>
      </c>
      <c r="S155" s="7" t="s">
        <v>145</v>
      </c>
      <c r="T155" s="7" t="s">
        <v>331</v>
      </c>
      <c r="U155" s="7" t="s">
        <v>570</v>
      </c>
      <c r="V155" s="15"/>
      <c r="W155" s="10"/>
      <c r="X155" s="10">
        <v>2</v>
      </c>
      <c r="Y155" s="10"/>
      <c r="Z155" s="25"/>
      <c r="AA155" s="39">
        <f t="shared" si="14"/>
        <v>2</v>
      </c>
      <c r="AG155" s="63">
        <f t="shared" si="15"/>
        <v>2</v>
      </c>
      <c r="AH155" s="59">
        <f t="shared" si="16"/>
        <v>2</v>
      </c>
      <c r="AI155" s="69">
        <f t="shared" si="17"/>
        <v>2</v>
      </c>
    </row>
    <row r="156" spans="1:35" s="11" customFormat="1" ht="27" customHeight="1" x14ac:dyDescent="0.2">
      <c r="A156" s="7" t="s">
        <v>146</v>
      </c>
      <c r="B156" s="7" t="s">
        <v>332</v>
      </c>
      <c r="C156" s="8" t="s">
        <v>738</v>
      </c>
      <c r="D156" s="15"/>
      <c r="E156" s="10"/>
      <c r="F156" s="10"/>
      <c r="G156" s="10"/>
      <c r="H156" s="10"/>
      <c r="I156" s="26">
        <f t="shared" si="12"/>
        <v>0</v>
      </c>
      <c r="J156" s="7" t="s">
        <v>146</v>
      </c>
      <c r="K156" s="7" t="s">
        <v>332</v>
      </c>
      <c r="L156" s="7" t="s">
        <v>963</v>
      </c>
      <c r="M156" s="15"/>
      <c r="N156" s="10"/>
      <c r="O156" s="10"/>
      <c r="P156" s="10"/>
      <c r="Q156" s="25"/>
      <c r="R156" s="31">
        <f t="shared" si="13"/>
        <v>0</v>
      </c>
      <c r="S156" s="7" t="s">
        <v>146</v>
      </c>
      <c r="T156" s="7" t="s">
        <v>332</v>
      </c>
      <c r="U156" s="7" t="s">
        <v>571</v>
      </c>
      <c r="V156" s="15"/>
      <c r="W156" s="10"/>
      <c r="X156" s="10"/>
      <c r="Y156" s="10"/>
      <c r="Z156" s="25"/>
      <c r="AA156" s="39">
        <f t="shared" si="14"/>
        <v>0</v>
      </c>
      <c r="AG156" s="63">
        <f t="shared" si="15"/>
        <v>0</v>
      </c>
      <c r="AH156" s="59">
        <f t="shared" si="16"/>
        <v>0</v>
      </c>
      <c r="AI156" s="69">
        <f t="shared" si="17"/>
        <v>0</v>
      </c>
    </row>
    <row r="157" spans="1:35" s="11" customFormat="1" ht="27" customHeight="1" x14ac:dyDescent="0.2">
      <c r="A157" s="7" t="s">
        <v>147</v>
      </c>
      <c r="B157" s="7" t="s">
        <v>333</v>
      </c>
      <c r="C157" s="8" t="s">
        <v>739</v>
      </c>
      <c r="D157" s="15"/>
      <c r="E157" s="10"/>
      <c r="F157" s="10"/>
      <c r="G157" s="10">
        <v>2</v>
      </c>
      <c r="H157" s="10"/>
      <c r="I157" s="26">
        <f t="shared" si="12"/>
        <v>2</v>
      </c>
      <c r="J157" s="7" t="s">
        <v>147</v>
      </c>
      <c r="K157" s="7" t="s">
        <v>333</v>
      </c>
      <c r="L157" s="7" t="s">
        <v>964</v>
      </c>
      <c r="M157" s="15"/>
      <c r="N157" s="10"/>
      <c r="O157" s="10"/>
      <c r="P157" s="10">
        <v>2</v>
      </c>
      <c r="Q157" s="25"/>
      <c r="R157" s="31">
        <f t="shared" si="13"/>
        <v>2</v>
      </c>
      <c r="S157" s="7" t="s">
        <v>147</v>
      </c>
      <c r="T157" s="7" t="s">
        <v>333</v>
      </c>
      <c r="U157" s="7" t="s">
        <v>572</v>
      </c>
      <c r="V157" s="15"/>
      <c r="W157" s="10"/>
      <c r="X157" s="10"/>
      <c r="Y157" s="10">
        <v>2</v>
      </c>
      <c r="Z157" s="25"/>
      <c r="AA157" s="39">
        <f t="shared" si="14"/>
        <v>2</v>
      </c>
      <c r="AG157" s="63">
        <f t="shared" si="15"/>
        <v>2</v>
      </c>
      <c r="AH157" s="59">
        <f t="shared" si="16"/>
        <v>2</v>
      </c>
      <c r="AI157" s="69">
        <f t="shared" si="17"/>
        <v>2</v>
      </c>
    </row>
    <row r="158" spans="1:35" s="11" customFormat="1" ht="27" customHeight="1" x14ac:dyDescent="0.2">
      <c r="A158" s="7" t="s">
        <v>148</v>
      </c>
      <c r="B158" s="7" t="s">
        <v>334</v>
      </c>
      <c r="C158" s="8" t="s">
        <v>740</v>
      </c>
      <c r="D158" s="15"/>
      <c r="E158" s="10"/>
      <c r="F158" s="10"/>
      <c r="G158" s="10"/>
      <c r="H158" s="10"/>
      <c r="I158" s="26">
        <f t="shared" si="12"/>
        <v>0</v>
      </c>
      <c r="J158" s="7" t="s">
        <v>148</v>
      </c>
      <c r="K158" s="7" t="s">
        <v>334</v>
      </c>
      <c r="L158" s="7" t="s">
        <v>965</v>
      </c>
      <c r="M158" s="15"/>
      <c r="N158" s="10"/>
      <c r="O158" s="10">
        <v>2</v>
      </c>
      <c r="P158" s="10"/>
      <c r="Q158" s="25"/>
      <c r="R158" s="31">
        <f t="shared" si="13"/>
        <v>2</v>
      </c>
      <c r="S158" s="7" t="s">
        <v>148</v>
      </c>
      <c r="T158" s="7" t="s">
        <v>334</v>
      </c>
      <c r="U158" s="7" t="s">
        <v>573</v>
      </c>
      <c r="V158" s="15"/>
      <c r="W158" s="10"/>
      <c r="X158" s="10"/>
      <c r="Y158" s="10">
        <v>2</v>
      </c>
      <c r="Z158" s="25"/>
      <c r="AA158" s="39">
        <f t="shared" si="14"/>
        <v>2</v>
      </c>
      <c r="AG158" s="63">
        <f t="shared" si="15"/>
        <v>0</v>
      </c>
      <c r="AH158" s="59">
        <f t="shared" si="16"/>
        <v>2</v>
      </c>
      <c r="AI158" s="69">
        <f t="shared" si="17"/>
        <v>2</v>
      </c>
    </row>
    <row r="159" spans="1:35" s="11" customFormat="1" ht="27" customHeight="1" x14ac:dyDescent="0.2">
      <c r="A159" s="7" t="s">
        <v>149</v>
      </c>
      <c r="B159" s="7" t="s">
        <v>335</v>
      </c>
      <c r="C159" s="8" t="s">
        <v>741</v>
      </c>
      <c r="D159" s="15"/>
      <c r="E159" s="10"/>
      <c r="F159" s="10"/>
      <c r="G159" s="10"/>
      <c r="H159" s="10"/>
      <c r="I159" s="26">
        <f t="shared" si="12"/>
        <v>0</v>
      </c>
      <c r="J159" s="7" t="s">
        <v>149</v>
      </c>
      <c r="K159" s="7" t="s">
        <v>335</v>
      </c>
      <c r="L159" s="7" t="s">
        <v>415</v>
      </c>
      <c r="M159" s="15"/>
      <c r="N159" s="10"/>
      <c r="O159" s="10"/>
      <c r="P159" s="10"/>
      <c r="Q159" s="25"/>
      <c r="R159" s="31">
        <f t="shared" si="13"/>
        <v>0</v>
      </c>
      <c r="S159" s="7" t="s">
        <v>149</v>
      </c>
      <c r="T159" s="7" t="s">
        <v>335</v>
      </c>
      <c r="U159" s="7" t="s">
        <v>574</v>
      </c>
      <c r="V159" s="15"/>
      <c r="W159" s="10"/>
      <c r="X159" s="10"/>
      <c r="Y159" s="10"/>
      <c r="Z159" s="25"/>
      <c r="AA159" s="39">
        <f t="shared" si="14"/>
        <v>0</v>
      </c>
      <c r="AG159" s="63">
        <f t="shared" si="15"/>
        <v>0</v>
      </c>
      <c r="AH159" s="59">
        <f t="shared" si="16"/>
        <v>0</v>
      </c>
      <c r="AI159" s="69">
        <f t="shared" si="17"/>
        <v>0</v>
      </c>
    </row>
    <row r="160" spans="1:35" s="11" customFormat="1" ht="27" customHeight="1" x14ac:dyDescent="0.2">
      <c r="A160" s="7" t="s">
        <v>150</v>
      </c>
      <c r="B160" s="7" t="s">
        <v>336</v>
      </c>
      <c r="C160" s="9" t="s">
        <v>742</v>
      </c>
      <c r="D160" s="16"/>
      <c r="E160" s="10"/>
      <c r="F160" s="10"/>
      <c r="G160" s="10"/>
      <c r="H160" s="10">
        <v>1</v>
      </c>
      <c r="I160" s="26">
        <f t="shared" si="12"/>
        <v>0.5</v>
      </c>
      <c r="J160" s="7" t="s">
        <v>150</v>
      </c>
      <c r="K160" s="7" t="s">
        <v>336</v>
      </c>
      <c r="L160" s="7" t="s">
        <v>966</v>
      </c>
      <c r="M160" s="16"/>
      <c r="N160" s="10"/>
      <c r="O160" s="10"/>
      <c r="P160" s="10"/>
      <c r="Q160" s="25"/>
      <c r="R160" s="31">
        <f t="shared" si="13"/>
        <v>0</v>
      </c>
      <c r="S160" s="7" t="s">
        <v>150</v>
      </c>
      <c r="T160" s="7" t="s">
        <v>336</v>
      </c>
      <c r="U160" s="7" t="s">
        <v>575</v>
      </c>
      <c r="V160" s="16"/>
      <c r="W160" s="10"/>
      <c r="X160" s="10">
        <v>2</v>
      </c>
      <c r="Y160" s="10"/>
      <c r="Z160" s="25"/>
      <c r="AA160" s="39">
        <f t="shared" si="14"/>
        <v>2</v>
      </c>
      <c r="AG160" s="63">
        <f t="shared" si="15"/>
        <v>0</v>
      </c>
      <c r="AH160" s="59">
        <f t="shared" si="16"/>
        <v>0</v>
      </c>
      <c r="AI160" s="69">
        <f t="shared" si="17"/>
        <v>2</v>
      </c>
    </row>
    <row r="161" spans="1:35" s="11" customFormat="1" ht="27" customHeight="1" x14ac:dyDescent="0.2">
      <c r="A161" s="7" t="s">
        <v>151</v>
      </c>
      <c r="B161" s="7" t="s">
        <v>337</v>
      </c>
      <c r="C161" s="8" t="s">
        <v>743</v>
      </c>
      <c r="D161" s="15"/>
      <c r="E161" s="10"/>
      <c r="F161" s="10">
        <v>2</v>
      </c>
      <c r="G161" s="10"/>
      <c r="H161" s="10"/>
      <c r="I161" s="26">
        <f t="shared" si="12"/>
        <v>2</v>
      </c>
      <c r="J161" s="7" t="s">
        <v>151</v>
      </c>
      <c r="K161" s="7" t="s">
        <v>337</v>
      </c>
      <c r="L161" s="7" t="s">
        <v>967</v>
      </c>
      <c r="M161" s="15"/>
      <c r="N161" s="10"/>
      <c r="O161" s="10">
        <v>2</v>
      </c>
      <c r="P161" s="10"/>
      <c r="Q161" s="25"/>
      <c r="R161" s="31">
        <f t="shared" si="13"/>
        <v>2</v>
      </c>
      <c r="S161" s="7" t="s">
        <v>151</v>
      </c>
      <c r="T161" s="7" t="s">
        <v>337</v>
      </c>
      <c r="U161" s="7" t="s">
        <v>576</v>
      </c>
      <c r="V161" s="15"/>
      <c r="W161" s="10"/>
      <c r="X161" s="10">
        <v>2</v>
      </c>
      <c r="Y161" s="10"/>
      <c r="Z161" s="25"/>
      <c r="AA161" s="39">
        <f t="shared" si="14"/>
        <v>2</v>
      </c>
      <c r="AG161" s="63">
        <f t="shared" si="15"/>
        <v>2</v>
      </c>
      <c r="AH161" s="59">
        <f t="shared" si="16"/>
        <v>2</v>
      </c>
      <c r="AI161" s="69">
        <f t="shared" si="17"/>
        <v>2</v>
      </c>
    </row>
    <row r="162" spans="1:35" s="11" customFormat="1" ht="27" customHeight="1" x14ac:dyDescent="0.2">
      <c r="A162" s="7" t="s">
        <v>152</v>
      </c>
      <c r="B162" s="7" t="s">
        <v>338</v>
      </c>
      <c r="C162" s="8" t="s">
        <v>744</v>
      </c>
      <c r="D162" s="15"/>
      <c r="E162" s="10"/>
      <c r="F162" s="10">
        <v>2</v>
      </c>
      <c r="G162" s="10"/>
      <c r="H162" s="10"/>
      <c r="I162" s="26">
        <f t="shared" si="12"/>
        <v>2</v>
      </c>
      <c r="J162" s="7" t="s">
        <v>152</v>
      </c>
      <c r="K162" s="7" t="s">
        <v>338</v>
      </c>
      <c r="L162" s="7" t="s">
        <v>968</v>
      </c>
      <c r="M162" s="15">
        <v>2</v>
      </c>
      <c r="N162" s="10"/>
      <c r="O162" s="10"/>
      <c r="P162" s="10"/>
      <c r="Q162" s="25"/>
      <c r="R162" s="31">
        <f t="shared" si="13"/>
        <v>2</v>
      </c>
      <c r="S162" s="7" t="s">
        <v>152</v>
      </c>
      <c r="T162" s="7" t="s">
        <v>338</v>
      </c>
      <c r="U162" s="7" t="s">
        <v>577</v>
      </c>
      <c r="V162" s="15"/>
      <c r="W162" s="10"/>
      <c r="X162" s="10">
        <v>2</v>
      </c>
      <c r="Y162" s="10"/>
      <c r="Z162" s="25"/>
      <c r="AA162" s="39">
        <f t="shared" si="14"/>
        <v>2</v>
      </c>
      <c r="AG162" s="63">
        <f t="shared" si="15"/>
        <v>2</v>
      </c>
      <c r="AH162" s="59">
        <f t="shared" si="16"/>
        <v>0</v>
      </c>
      <c r="AI162" s="69">
        <f t="shared" si="17"/>
        <v>2</v>
      </c>
    </row>
    <row r="163" spans="1:35" s="11" customFormat="1" ht="27" customHeight="1" x14ac:dyDescent="0.2">
      <c r="A163" s="7" t="s">
        <v>153</v>
      </c>
      <c r="B163" s="7" t="s">
        <v>339</v>
      </c>
      <c r="C163" s="9" t="s">
        <v>745</v>
      </c>
      <c r="D163" s="16"/>
      <c r="E163" s="10"/>
      <c r="F163" s="10"/>
      <c r="G163" s="10"/>
      <c r="H163" s="10">
        <v>1</v>
      </c>
      <c r="I163" s="26">
        <f t="shared" si="12"/>
        <v>0.5</v>
      </c>
      <c r="J163" s="7" t="s">
        <v>153</v>
      </c>
      <c r="K163" s="7" t="s">
        <v>339</v>
      </c>
      <c r="L163" s="7" t="s">
        <v>969</v>
      </c>
      <c r="M163" s="16"/>
      <c r="N163" s="10"/>
      <c r="O163" s="10"/>
      <c r="P163" s="10"/>
      <c r="Q163" s="25"/>
      <c r="R163" s="31">
        <f t="shared" si="13"/>
        <v>0</v>
      </c>
      <c r="S163" s="7" t="s">
        <v>153</v>
      </c>
      <c r="T163" s="7" t="s">
        <v>339</v>
      </c>
      <c r="U163" s="7" t="s">
        <v>578</v>
      </c>
      <c r="V163" s="16"/>
      <c r="W163" s="10"/>
      <c r="X163" s="10">
        <v>2</v>
      </c>
      <c r="Y163" s="10"/>
      <c r="Z163" s="25"/>
      <c r="AA163" s="39">
        <f t="shared" si="14"/>
        <v>2</v>
      </c>
      <c r="AG163" s="63">
        <f t="shared" si="15"/>
        <v>0</v>
      </c>
      <c r="AH163" s="59">
        <f t="shared" si="16"/>
        <v>0</v>
      </c>
      <c r="AI163" s="69">
        <f t="shared" si="17"/>
        <v>2</v>
      </c>
    </row>
    <row r="164" spans="1:35" s="11" customFormat="1" ht="27" customHeight="1" x14ac:dyDescent="0.2">
      <c r="A164" s="7" t="s">
        <v>154</v>
      </c>
      <c r="B164" s="7" t="s">
        <v>340</v>
      </c>
      <c r="C164" s="8" t="s">
        <v>746</v>
      </c>
      <c r="D164" s="15"/>
      <c r="E164" s="10"/>
      <c r="F164" s="10"/>
      <c r="G164" s="10"/>
      <c r="H164" s="10"/>
      <c r="I164" s="26">
        <f t="shared" si="12"/>
        <v>0</v>
      </c>
      <c r="J164" s="7" t="s">
        <v>154</v>
      </c>
      <c r="K164" s="7" t="s">
        <v>340</v>
      </c>
      <c r="L164" s="7" t="s">
        <v>416</v>
      </c>
      <c r="M164" s="15"/>
      <c r="N164" s="10"/>
      <c r="O164" s="10"/>
      <c r="P164" s="10"/>
      <c r="Q164" s="25"/>
      <c r="R164" s="31">
        <f t="shared" si="13"/>
        <v>0</v>
      </c>
      <c r="S164" s="7" t="s">
        <v>154</v>
      </c>
      <c r="T164" s="7" t="s">
        <v>340</v>
      </c>
      <c r="U164" s="7" t="s">
        <v>579</v>
      </c>
      <c r="V164" s="15"/>
      <c r="W164" s="10"/>
      <c r="X164" s="10"/>
      <c r="Y164" s="10">
        <v>2</v>
      </c>
      <c r="Z164" s="25"/>
      <c r="AA164" s="39">
        <f t="shared" si="14"/>
        <v>2</v>
      </c>
      <c r="AG164" s="63">
        <f t="shared" si="15"/>
        <v>0</v>
      </c>
      <c r="AH164" s="59">
        <f t="shared" si="16"/>
        <v>0</v>
      </c>
      <c r="AI164" s="69">
        <f t="shared" si="17"/>
        <v>2</v>
      </c>
    </row>
    <row r="165" spans="1:35" s="11" customFormat="1" ht="27" customHeight="1" x14ac:dyDescent="0.2">
      <c r="A165" s="7" t="s">
        <v>155</v>
      </c>
      <c r="B165" s="7" t="s">
        <v>341</v>
      </c>
      <c r="C165" s="8" t="s">
        <v>747</v>
      </c>
      <c r="D165" s="15"/>
      <c r="E165" s="10"/>
      <c r="F165" s="10"/>
      <c r="G165" s="10"/>
      <c r="H165" s="10">
        <v>2</v>
      </c>
      <c r="I165" s="26">
        <f t="shared" si="12"/>
        <v>1</v>
      </c>
      <c r="J165" s="7" t="s">
        <v>155</v>
      </c>
      <c r="K165" s="7" t="s">
        <v>341</v>
      </c>
      <c r="L165" s="7" t="s">
        <v>970</v>
      </c>
      <c r="M165" s="15"/>
      <c r="N165" s="10"/>
      <c r="O165" s="10"/>
      <c r="P165" s="10"/>
      <c r="Q165" s="25"/>
      <c r="R165" s="31">
        <f t="shared" si="13"/>
        <v>0</v>
      </c>
      <c r="S165" s="7" t="s">
        <v>155</v>
      </c>
      <c r="T165" s="7" t="s">
        <v>341</v>
      </c>
      <c r="U165" s="7" t="s">
        <v>580</v>
      </c>
      <c r="V165" s="15"/>
      <c r="W165" s="10"/>
      <c r="X165" s="10"/>
      <c r="Y165" s="10">
        <v>2</v>
      </c>
      <c r="Z165" s="25"/>
      <c r="AA165" s="39">
        <f t="shared" si="14"/>
        <v>2</v>
      </c>
      <c r="AG165" s="63">
        <f t="shared" si="15"/>
        <v>0</v>
      </c>
      <c r="AH165" s="59">
        <f t="shared" si="16"/>
        <v>0</v>
      </c>
      <c r="AI165" s="69">
        <f t="shared" si="17"/>
        <v>2</v>
      </c>
    </row>
    <row r="166" spans="1:35" s="11" customFormat="1" ht="27" customHeight="1" x14ac:dyDescent="0.2">
      <c r="A166" s="7" t="s">
        <v>156</v>
      </c>
      <c r="B166" s="7" t="s">
        <v>342</v>
      </c>
      <c r="C166" s="8" t="s">
        <v>748</v>
      </c>
      <c r="D166" s="15"/>
      <c r="E166" s="10"/>
      <c r="F166" s="10"/>
      <c r="G166" s="10">
        <v>2</v>
      </c>
      <c r="H166" s="10"/>
      <c r="I166" s="26">
        <f t="shared" si="12"/>
        <v>2</v>
      </c>
      <c r="J166" s="7" t="s">
        <v>156</v>
      </c>
      <c r="K166" s="7" t="s">
        <v>342</v>
      </c>
      <c r="L166" s="7" t="s">
        <v>971</v>
      </c>
      <c r="M166" s="15"/>
      <c r="N166" s="10"/>
      <c r="O166" s="10">
        <v>2</v>
      </c>
      <c r="P166" s="10"/>
      <c r="Q166" s="25"/>
      <c r="R166" s="31">
        <f t="shared" si="13"/>
        <v>2</v>
      </c>
      <c r="S166" s="7" t="s">
        <v>156</v>
      </c>
      <c r="T166" s="7" t="s">
        <v>342</v>
      </c>
      <c r="U166" s="7" t="s">
        <v>581</v>
      </c>
      <c r="V166" s="15"/>
      <c r="W166" s="10"/>
      <c r="X166" s="10"/>
      <c r="Y166" s="10">
        <v>2</v>
      </c>
      <c r="Z166" s="25"/>
      <c r="AA166" s="39">
        <f t="shared" si="14"/>
        <v>2</v>
      </c>
      <c r="AG166" s="63">
        <f t="shared" si="15"/>
        <v>2</v>
      </c>
      <c r="AH166" s="59">
        <f t="shared" si="16"/>
        <v>2</v>
      </c>
      <c r="AI166" s="69">
        <f t="shared" si="17"/>
        <v>2</v>
      </c>
    </row>
    <row r="167" spans="1:35" s="11" customFormat="1" ht="27" customHeight="1" x14ac:dyDescent="0.2">
      <c r="A167" s="7" t="s">
        <v>157</v>
      </c>
      <c r="B167" s="7" t="s">
        <v>343</v>
      </c>
      <c r="C167" s="8" t="s">
        <v>749</v>
      </c>
      <c r="D167" s="15"/>
      <c r="E167" s="10"/>
      <c r="F167" s="10"/>
      <c r="G167" s="10"/>
      <c r="H167" s="10"/>
      <c r="I167" s="26">
        <f t="shared" si="12"/>
        <v>0</v>
      </c>
      <c r="J167" s="7" t="s">
        <v>157</v>
      </c>
      <c r="K167" s="7" t="s">
        <v>343</v>
      </c>
      <c r="L167" s="7" t="s">
        <v>972</v>
      </c>
      <c r="M167" s="15">
        <v>2</v>
      </c>
      <c r="N167" s="10"/>
      <c r="O167" s="10"/>
      <c r="P167" s="10"/>
      <c r="Q167" s="25"/>
      <c r="R167" s="31">
        <f t="shared" si="13"/>
        <v>2</v>
      </c>
      <c r="S167" s="7" t="s">
        <v>157</v>
      </c>
      <c r="T167" s="7" t="s">
        <v>343</v>
      </c>
      <c r="U167" s="7" t="s">
        <v>582</v>
      </c>
      <c r="V167" s="15"/>
      <c r="W167" s="10"/>
      <c r="X167" s="10"/>
      <c r="Y167" s="10"/>
      <c r="Z167" s="25"/>
      <c r="AA167" s="39">
        <f t="shared" si="14"/>
        <v>0</v>
      </c>
      <c r="AG167" s="63">
        <f t="shared" si="15"/>
        <v>0</v>
      </c>
      <c r="AH167" s="59">
        <f t="shared" si="16"/>
        <v>0</v>
      </c>
      <c r="AI167" s="69">
        <f t="shared" si="17"/>
        <v>0</v>
      </c>
    </row>
    <row r="168" spans="1:35" s="11" customFormat="1" ht="27" customHeight="1" x14ac:dyDescent="0.2">
      <c r="A168" s="7" t="s">
        <v>158</v>
      </c>
      <c r="B168" s="7" t="s">
        <v>344</v>
      </c>
      <c r="C168" s="8" t="s">
        <v>750</v>
      </c>
      <c r="D168" s="15"/>
      <c r="E168" s="10"/>
      <c r="F168" s="10"/>
      <c r="G168" s="10"/>
      <c r="H168" s="10"/>
      <c r="I168" s="26">
        <f t="shared" si="12"/>
        <v>0</v>
      </c>
      <c r="J168" s="7" t="s">
        <v>158</v>
      </c>
      <c r="K168" s="7" t="s">
        <v>344</v>
      </c>
      <c r="L168" s="7" t="s">
        <v>973</v>
      </c>
      <c r="M168" s="15"/>
      <c r="N168" s="10"/>
      <c r="O168" s="10">
        <v>2</v>
      </c>
      <c r="P168" s="10"/>
      <c r="Q168" s="25"/>
      <c r="R168" s="31">
        <f t="shared" si="13"/>
        <v>2</v>
      </c>
      <c r="S168" s="7" t="s">
        <v>158</v>
      </c>
      <c r="T168" s="7" t="s">
        <v>344</v>
      </c>
      <c r="U168" s="7" t="s">
        <v>583</v>
      </c>
      <c r="V168" s="15"/>
      <c r="W168" s="10"/>
      <c r="X168" s="10">
        <v>2</v>
      </c>
      <c r="Y168" s="10"/>
      <c r="Z168" s="25"/>
      <c r="AA168" s="39">
        <f t="shared" si="14"/>
        <v>2</v>
      </c>
      <c r="AG168" s="63">
        <f t="shared" si="15"/>
        <v>0</v>
      </c>
      <c r="AH168" s="59">
        <f t="shared" si="16"/>
        <v>2</v>
      </c>
      <c r="AI168" s="69">
        <f t="shared" si="17"/>
        <v>2</v>
      </c>
    </row>
    <row r="169" spans="1:35" s="11" customFormat="1" ht="27" customHeight="1" x14ac:dyDescent="0.2">
      <c r="A169" s="7" t="s">
        <v>159</v>
      </c>
      <c r="B169" s="7" t="s">
        <v>345</v>
      </c>
      <c r="C169" s="8" t="s">
        <v>1022</v>
      </c>
      <c r="D169" s="15"/>
      <c r="E169" s="10"/>
      <c r="F169" s="10"/>
      <c r="G169" s="10"/>
      <c r="H169" s="10">
        <v>1</v>
      </c>
      <c r="I169" s="26">
        <f t="shared" si="12"/>
        <v>0.5</v>
      </c>
      <c r="J169" s="7" t="s">
        <v>159</v>
      </c>
      <c r="K169" s="7" t="s">
        <v>345</v>
      </c>
      <c r="L169" s="7" t="s">
        <v>417</v>
      </c>
      <c r="M169" s="15"/>
      <c r="N169" s="10"/>
      <c r="O169" s="10"/>
      <c r="P169" s="10">
        <v>2</v>
      </c>
      <c r="Q169" s="25"/>
      <c r="R169" s="31">
        <f t="shared" si="13"/>
        <v>2</v>
      </c>
      <c r="S169" s="7" t="s">
        <v>159</v>
      </c>
      <c r="T169" s="7" t="s">
        <v>345</v>
      </c>
      <c r="U169" s="7" t="s">
        <v>584</v>
      </c>
      <c r="V169" s="15"/>
      <c r="W169" s="10"/>
      <c r="X169" s="10"/>
      <c r="Y169" s="10"/>
      <c r="Z169" s="25"/>
      <c r="AA169" s="39">
        <f t="shared" si="14"/>
        <v>0</v>
      </c>
      <c r="AG169" s="63">
        <f t="shared" si="15"/>
        <v>0</v>
      </c>
      <c r="AH169" s="59">
        <f t="shared" si="16"/>
        <v>2</v>
      </c>
      <c r="AI169" s="69">
        <f t="shared" si="17"/>
        <v>0</v>
      </c>
    </row>
    <row r="170" spans="1:35" s="11" customFormat="1" ht="27" customHeight="1" x14ac:dyDescent="0.2">
      <c r="A170" s="7" t="s">
        <v>160</v>
      </c>
      <c r="B170" s="7" t="s">
        <v>346</v>
      </c>
      <c r="C170" s="8" t="s">
        <v>751</v>
      </c>
      <c r="D170" s="15"/>
      <c r="E170" s="10"/>
      <c r="F170" s="10"/>
      <c r="G170" s="10"/>
      <c r="H170" s="10"/>
      <c r="I170" s="26">
        <f t="shared" si="12"/>
        <v>0</v>
      </c>
      <c r="J170" s="7" t="s">
        <v>160</v>
      </c>
      <c r="K170" s="7" t="s">
        <v>346</v>
      </c>
      <c r="L170" s="7" t="s">
        <v>974</v>
      </c>
      <c r="M170" s="15">
        <v>1</v>
      </c>
      <c r="N170" s="10"/>
      <c r="O170" s="10"/>
      <c r="P170" s="10"/>
      <c r="Q170" s="25"/>
      <c r="R170" s="31">
        <f t="shared" si="13"/>
        <v>1</v>
      </c>
      <c r="S170" s="7" t="s">
        <v>160</v>
      </c>
      <c r="T170" s="7" t="s">
        <v>346</v>
      </c>
      <c r="U170" s="7" t="s">
        <v>585</v>
      </c>
      <c r="V170" s="15"/>
      <c r="W170" s="10"/>
      <c r="X170" s="10">
        <v>2</v>
      </c>
      <c r="Y170" s="10"/>
      <c r="Z170" s="25"/>
      <c r="AA170" s="39">
        <f t="shared" si="14"/>
        <v>2</v>
      </c>
      <c r="AG170" s="63">
        <f t="shared" si="15"/>
        <v>0</v>
      </c>
      <c r="AH170" s="59">
        <f t="shared" si="16"/>
        <v>0</v>
      </c>
      <c r="AI170" s="69">
        <f t="shared" si="17"/>
        <v>2</v>
      </c>
    </row>
    <row r="171" spans="1:35" s="11" customFormat="1" ht="27" customHeight="1" x14ac:dyDescent="0.2">
      <c r="A171" s="7" t="s">
        <v>161</v>
      </c>
      <c r="B171" s="7" t="s">
        <v>347</v>
      </c>
      <c r="C171" s="8" t="s">
        <v>752</v>
      </c>
      <c r="D171" s="15"/>
      <c r="E171" s="10"/>
      <c r="F171" s="10"/>
      <c r="G171" s="10"/>
      <c r="H171" s="10"/>
      <c r="I171" s="26">
        <f t="shared" si="12"/>
        <v>0</v>
      </c>
      <c r="J171" s="7" t="s">
        <v>161</v>
      </c>
      <c r="K171" s="7" t="s">
        <v>347</v>
      </c>
      <c r="L171" s="7" t="s">
        <v>418</v>
      </c>
      <c r="M171" s="15"/>
      <c r="N171" s="10"/>
      <c r="O171" s="10"/>
      <c r="P171" s="10"/>
      <c r="Q171" s="25"/>
      <c r="R171" s="31">
        <f t="shared" si="13"/>
        <v>0</v>
      </c>
      <c r="S171" s="7" t="s">
        <v>161</v>
      </c>
      <c r="T171" s="7" t="s">
        <v>347</v>
      </c>
      <c r="U171" s="7" t="s">
        <v>586</v>
      </c>
      <c r="V171" s="15">
        <v>1</v>
      </c>
      <c r="W171" s="10"/>
      <c r="X171" s="10"/>
      <c r="Y171" s="10"/>
      <c r="Z171" s="25"/>
      <c r="AA171" s="39">
        <f t="shared" si="14"/>
        <v>1</v>
      </c>
      <c r="AG171" s="63">
        <f t="shared" si="15"/>
        <v>0</v>
      </c>
      <c r="AH171" s="59">
        <f t="shared" si="16"/>
        <v>0</v>
      </c>
      <c r="AI171" s="69">
        <f t="shared" si="17"/>
        <v>0</v>
      </c>
    </row>
    <row r="172" spans="1:35" s="11" customFormat="1" ht="27" customHeight="1" x14ac:dyDescent="0.2">
      <c r="A172" s="7" t="s">
        <v>162</v>
      </c>
      <c r="B172" s="7" t="s">
        <v>348</v>
      </c>
      <c r="C172" s="9" t="s">
        <v>753</v>
      </c>
      <c r="D172" s="16"/>
      <c r="E172" s="10"/>
      <c r="F172" s="10"/>
      <c r="G172" s="10"/>
      <c r="H172" s="10"/>
      <c r="I172" s="26">
        <f t="shared" si="12"/>
        <v>0</v>
      </c>
      <c r="J172" s="7" t="s">
        <v>162</v>
      </c>
      <c r="K172" s="7" t="s">
        <v>348</v>
      </c>
      <c r="L172" s="7" t="s">
        <v>419</v>
      </c>
      <c r="M172" s="16"/>
      <c r="N172" s="10"/>
      <c r="O172" s="10"/>
      <c r="P172" s="10"/>
      <c r="Q172" s="25"/>
      <c r="R172" s="31">
        <f t="shared" si="13"/>
        <v>0</v>
      </c>
      <c r="S172" s="7" t="s">
        <v>162</v>
      </c>
      <c r="T172" s="7" t="s">
        <v>348</v>
      </c>
      <c r="U172" s="7" t="s">
        <v>587</v>
      </c>
      <c r="V172" s="16"/>
      <c r="W172" s="10"/>
      <c r="X172" s="10"/>
      <c r="Y172" s="10">
        <v>2</v>
      </c>
      <c r="Z172" s="25"/>
      <c r="AA172" s="39">
        <f t="shared" si="14"/>
        <v>2</v>
      </c>
      <c r="AG172" s="63">
        <f t="shared" si="15"/>
        <v>0</v>
      </c>
      <c r="AH172" s="59">
        <f t="shared" si="16"/>
        <v>0</v>
      </c>
      <c r="AI172" s="69">
        <f t="shared" si="17"/>
        <v>2</v>
      </c>
    </row>
    <row r="173" spans="1:35" s="11" customFormat="1" ht="27" customHeight="1" x14ac:dyDescent="0.2">
      <c r="A173" s="7" t="s">
        <v>163</v>
      </c>
      <c r="B173" s="7" t="s">
        <v>349</v>
      </c>
      <c r="C173" s="8" t="s">
        <v>754</v>
      </c>
      <c r="D173" s="15"/>
      <c r="E173" s="10"/>
      <c r="F173" s="10">
        <v>2</v>
      </c>
      <c r="G173" s="10"/>
      <c r="H173" s="10"/>
      <c r="I173" s="26">
        <f t="shared" si="12"/>
        <v>2</v>
      </c>
      <c r="J173" s="7" t="s">
        <v>163</v>
      </c>
      <c r="K173" s="7" t="s">
        <v>349</v>
      </c>
      <c r="L173" s="7" t="s">
        <v>420</v>
      </c>
      <c r="M173" s="15"/>
      <c r="N173" s="10"/>
      <c r="O173" s="10">
        <v>2</v>
      </c>
      <c r="P173" s="10"/>
      <c r="Q173" s="25"/>
      <c r="R173" s="31">
        <f t="shared" si="13"/>
        <v>2</v>
      </c>
      <c r="S173" s="7" t="s">
        <v>163</v>
      </c>
      <c r="T173" s="7" t="s">
        <v>349</v>
      </c>
      <c r="U173" s="7" t="s">
        <v>588</v>
      </c>
      <c r="V173" s="15"/>
      <c r="W173" s="10"/>
      <c r="X173" s="10">
        <v>2</v>
      </c>
      <c r="Y173" s="10"/>
      <c r="Z173" s="25"/>
      <c r="AA173" s="39">
        <f t="shared" si="14"/>
        <v>2</v>
      </c>
      <c r="AG173" s="63">
        <f t="shared" si="15"/>
        <v>2</v>
      </c>
      <c r="AH173" s="59">
        <f t="shared" si="16"/>
        <v>2</v>
      </c>
      <c r="AI173" s="69">
        <f t="shared" si="17"/>
        <v>2</v>
      </c>
    </row>
    <row r="174" spans="1:35" s="11" customFormat="1" ht="27" customHeight="1" x14ac:dyDescent="0.2">
      <c r="A174" s="7" t="s">
        <v>164</v>
      </c>
      <c r="B174" s="7" t="s">
        <v>350</v>
      </c>
      <c r="C174" s="8" t="s">
        <v>755</v>
      </c>
      <c r="D174" s="15">
        <v>1</v>
      </c>
      <c r="E174" s="10"/>
      <c r="F174" s="10"/>
      <c r="G174" s="10"/>
      <c r="H174" s="10"/>
      <c r="I174" s="26">
        <f t="shared" si="12"/>
        <v>1</v>
      </c>
      <c r="J174" s="7" t="s">
        <v>164</v>
      </c>
      <c r="K174" s="7" t="s">
        <v>350</v>
      </c>
      <c r="L174" s="7" t="s">
        <v>421</v>
      </c>
      <c r="M174" s="15"/>
      <c r="N174" s="10"/>
      <c r="O174" s="10"/>
      <c r="P174" s="10"/>
      <c r="Q174" s="25"/>
      <c r="R174" s="31">
        <f t="shared" si="13"/>
        <v>0</v>
      </c>
      <c r="S174" s="7" t="s">
        <v>164</v>
      </c>
      <c r="T174" s="7" t="s">
        <v>350</v>
      </c>
      <c r="U174" s="7" t="s">
        <v>589</v>
      </c>
      <c r="V174" s="15"/>
      <c r="W174" s="10"/>
      <c r="X174" s="10"/>
      <c r="Y174" s="10"/>
      <c r="Z174" s="25"/>
      <c r="AA174" s="39">
        <f t="shared" si="14"/>
        <v>0</v>
      </c>
      <c r="AG174" s="63">
        <f t="shared" si="15"/>
        <v>0</v>
      </c>
      <c r="AH174" s="59">
        <f t="shared" si="16"/>
        <v>0</v>
      </c>
      <c r="AI174" s="69">
        <f t="shared" si="17"/>
        <v>0</v>
      </c>
    </row>
    <row r="175" spans="1:35" s="11" customFormat="1" ht="27" customHeight="1" x14ac:dyDescent="0.2">
      <c r="A175" s="7" t="s">
        <v>165</v>
      </c>
      <c r="B175" s="7" t="s">
        <v>351</v>
      </c>
      <c r="C175" s="9" t="s">
        <v>756</v>
      </c>
      <c r="D175" s="16"/>
      <c r="E175" s="10"/>
      <c r="F175" s="10"/>
      <c r="G175" s="10"/>
      <c r="H175" s="10"/>
      <c r="I175" s="26">
        <f t="shared" si="12"/>
        <v>0</v>
      </c>
      <c r="J175" s="7" t="s">
        <v>165</v>
      </c>
      <c r="K175" s="7" t="s">
        <v>351</v>
      </c>
      <c r="L175" s="7" t="s">
        <v>422</v>
      </c>
      <c r="M175" s="16"/>
      <c r="N175" s="10"/>
      <c r="O175" s="10"/>
      <c r="P175" s="10"/>
      <c r="Q175" s="25"/>
      <c r="R175" s="31">
        <f t="shared" si="13"/>
        <v>0</v>
      </c>
      <c r="S175" s="7" t="s">
        <v>165</v>
      </c>
      <c r="T175" s="7" t="s">
        <v>351</v>
      </c>
      <c r="U175" s="7" t="s">
        <v>590</v>
      </c>
      <c r="V175" s="16"/>
      <c r="W175" s="10"/>
      <c r="X175" s="10">
        <v>2</v>
      </c>
      <c r="Y175" s="10"/>
      <c r="Z175" s="25"/>
      <c r="AA175" s="39">
        <f t="shared" si="14"/>
        <v>2</v>
      </c>
      <c r="AG175" s="63">
        <f t="shared" si="15"/>
        <v>0</v>
      </c>
      <c r="AH175" s="59">
        <f t="shared" si="16"/>
        <v>0</v>
      </c>
      <c r="AI175" s="69">
        <f t="shared" si="17"/>
        <v>2</v>
      </c>
    </row>
    <row r="176" spans="1:35" s="11" customFormat="1" ht="27" customHeight="1" x14ac:dyDescent="0.2">
      <c r="A176" s="7" t="s">
        <v>166</v>
      </c>
      <c r="B176" s="7" t="s">
        <v>352</v>
      </c>
      <c r="C176" s="8" t="s">
        <v>757</v>
      </c>
      <c r="D176" s="15"/>
      <c r="E176" s="10"/>
      <c r="F176" s="10">
        <v>2</v>
      </c>
      <c r="G176" s="10"/>
      <c r="H176" s="10"/>
      <c r="I176" s="26">
        <f t="shared" si="12"/>
        <v>2</v>
      </c>
      <c r="J176" s="7" t="s">
        <v>166</v>
      </c>
      <c r="K176" s="7" t="s">
        <v>352</v>
      </c>
      <c r="L176" s="7" t="s">
        <v>975</v>
      </c>
      <c r="M176" s="15"/>
      <c r="N176" s="10"/>
      <c r="O176" s="10"/>
      <c r="P176" s="10">
        <v>2</v>
      </c>
      <c r="Q176" s="25"/>
      <c r="R176" s="31">
        <f t="shared" si="13"/>
        <v>2</v>
      </c>
      <c r="S176" s="7" t="s">
        <v>166</v>
      </c>
      <c r="T176" s="7" t="s">
        <v>352</v>
      </c>
      <c r="U176" s="7" t="s">
        <v>591</v>
      </c>
      <c r="V176" s="15"/>
      <c r="W176" s="10"/>
      <c r="X176" s="10">
        <v>2</v>
      </c>
      <c r="Y176" s="10"/>
      <c r="Z176" s="25"/>
      <c r="AA176" s="39">
        <f t="shared" si="14"/>
        <v>2</v>
      </c>
      <c r="AG176" s="63">
        <f t="shared" si="15"/>
        <v>2</v>
      </c>
      <c r="AH176" s="59">
        <f t="shared" si="16"/>
        <v>2</v>
      </c>
      <c r="AI176" s="69">
        <f t="shared" si="17"/>
        <v>2</v>
      </c>
    </row>
    <row r="177" spans="1:35" s="11" customFormat="1" ht="27" customHeight="1" x14ac:dyDescent="0.2">
      <c r="A177" s="7" t="s">
        <v>167</v>
      </c>
      <c r="B177" s="7" t="s">
        <v>353</v>
      </c>
      <c r="C177" s="8" t="s">
        <v>758</v>
      </c>
      <c r="D177" s="15"/>
      <c r="E177" s="10"/>
      <c r="F177" s="10">
        <v>2</v>
      </c>
      <c r="G177" s="10"/>
      <c r="H177" s="10"/>
      <c r="I177" s="26">
        <f t="shared" si="12"/>
        <v>2</v>
      </c>
      <c r="J177" s="7" t="s">
        <v>167</v>
      </c>
      <c r="K177" s="7" t="s">
        <v>353</v>
      </c>
      <c r="L177" s="7" t="s">
        <v>976</v>
      </c>
      <c r="M177" s="15"/>
      <c r="N177" s="10"/>
      <c r="O177" s="10"/>
      <c r="P177" s="10"/>
      <c r="Q177" s="25"/>
      <c r="R177" s="31">
        <f t="shared" si="13"/>
        <v>0</v>
      </c>
      <c r="S177" s="7" t="s">
        <v>167</v>
      </c>
      <c r="T177" s="7" t="s">
        <v>353</v>
      </c>
      <c r="U177" s="7" t="s">
        <v>592</v>
      </c>
      <c r="V177" s="15">
        <v>1</v>
      </c>
      <c r="W177" s="10"/>
      <c r="X177" s="10"/>
      <c r="Y177" s="10"/>
      <c r="Z177" s="25"/>
      <c r="AA177" s="39">
        <f t="shared" si="14"/>
        <v>1</v>
      </c>
      <c r="AG177" s="63">
        <f t="shared" si="15"/>
        <v>2</v>
      </c>
      <c r="AH177" s="59">
        <f t="shared" si="16"/>
        <v>0</v>
      </c>
      <c r="AI177" s="69">
        <f t="shared" si="17"/>
        <v>0</v>
      </c>
    </row>
    <row r="178" spans="1:35" s="11" customFormat="1" ht="27" customHeight="1" x14ac:dyDescent="0.2">
      <c r="A178" s="7" t="s">
        <v>168</v>
      </c>
      <c r="B178" s="7" t="s">
        <v>354</v>
      </c>
      <c r="C178" s="8" t="s">
        <v>759</v>
      </c>
      <c r="D178" s="15"/>
      <c r="E178" s="10"/>
      <c r="F178" s="10"/>
      <c r="G178" s="10"/>
      <c r="H178" s="10">
        <v>2</v>
      </c>
      <c r="I178" s="26">
        <f t="shared" si="12"/>
        <v>1</v>
      </c>
      <c r="J178" s="7" t="s">
        <v>168</v>
      </c>
      <c r="K178" s="7" t="s">
        <v>354</v>
      </c>
      <c r="L178" s="7" t="s">
        <v>423</v>
      </c>
      <c r="M178" s="15"/>
      <c r="N178" s="10"/>
      <c r="O178" s="10"/>
      <c r="P178" s="10"/>
      <c r="Q178" s="25"/>
      <c r="R178" s="31">
        <f t="shared" si="13"/>
        <v>0</v>
      </c>
      <c r="S178" s="7" t="s">
        <v>168</v>
      </c>
      <c r="T178" s="7" t="s">
        <v>354</v>
      </c>
      <c r="U178" s="7" t="s">
        <v>593</v>
      </c>
      <c r="V178" s="15"/>
      <c r="W178" s="10"/>
      <c r="X178" s="10">
        <v>2</v>
      </c>
      <c r="Y178" s="10"/>
      <c r="Z178" s="25"/>
      <c r="AA178" s="39">
        <f t="shared" si="14"/>
        <v>2</v>
      </c>
      <c r="AG178" s="63">
        <f t="shared" si="15"/>
        <v>0</v>
      </c>
      <c r="AH178" s="59">
        <f t="shared" si="16"/>
        <v>0</v>
      </c>
      <c r="AI178" s="69">
        <f t="shared" si="17"/>
        <v>2</v>
      </c>
    </row>
    <row r="179" spans="1:35" s="11" customFormat="1" ht="27" customHeight="1" x14ac:dyDescent="0.2">
      <c r="A179" s="7" t="s">
        <v>169</v>
      </c>
      <c r="B179" s="7" t="s">
        <v>355</v>
      </c>
      <c r="C179" s="8" t="s">
        <v>760</v>
      </c>
      <c r="D179" s="15"/>
      <c r="E179" s="10"/>
      <c r="F179" s="10"/>
      <c r="G179" s="10"/>
      <c r="H179" s="10"/>
      <c r="I179" s="26">
        <f t="shared" si="12"/>
        <v>0</v>
      </c>
      <c r="J179" s="7" t="s">
        <v>169</v>
      </c>
      <c r="K179" s="7" t="s">
        <v>355</v>
      </c>
      <c r="L179" s="7" t="s">
        <v>424</v>
      </c>
      <c r="M179" s="15"/>
      <c r="N179" s="10"/>
      <c r="O179" s="10"/>
      <c r="P179" s="10"/>
      <c r="Q179" s="25"/>
      <c r="R179" s="31">
        <f t="shared" si="13"/>
        <v>0</v>
      </c>
      <c r="S179" s="7" t="s">
        <v>169</v>
      </c>
      <c r="T179" s="7" t="s">
        <v>355</v>
      </c>
      <c r="U179" s="7" t="s">
        <v>594</v>
      </c>
      <c r="V179" s="15"/>
      <c r="W179" s="10"/>
      <c r="X179" s="10"/>
      <c r="Y179" s="10"/>
      <c r="Z179" s="25"/>
      <c r="AA179" s="39">
        <f t="shared" si="14"/>
        <v>0</v>
      </c>
      <c r="AG179" s="63">
        <f t="shared" si="15"/>
        <v>0</v>
      </c>
      <c r="AH179" s="59">
        <f t="shared" si="16"/>
        <v>0</v>
      </c>
      <c r="AI179" s="69">
        <f t="shared" si="17"/>
        <v>0</v>
      </c>
    </row>
    <row r="180" spans="1:35" s="11" customFormat="1" ht="27" customHeight="1" x14ac:dyDescent="0.2">
      <c r="A180" s="7" t="s">
        <v>170</v>
      </c>
      <c r="B180" s="7" t="s">
        <v>356</v>
      </c>
      <c r="C180" s="8" t="s">
        <v>761</v>
      </c>
      <c r="D180" s="15"/>
      <c r="E180" s="10"/>
      <c r="F180" s="10">
        <v>2</v>
      </c>
      <c r="G180" s="10"/>
      <c r="H180" s="10"/>
      <c r="I180" s="26">
        <f t="shared" si="12"/>
        <v>2</v>
      </c>
      <c r="J180" s="7" t="s">
        <v>170</v>
      </c>
      <c r="K180" s="7" t="s">
        <v>356</v>
      </c>
      <c r="L180" s="7" t="s">
        <v>977</v>
      </c>
      <c r="M180" s="15">
        <v>2</v>
      </c>
      <c r="N180" s="10"/>
      <c r="O180" s="10"/>
      <c r="P180" s="10"/>
      <c r="Q180" s="25"/>
      <c r="R180" s="31">
        <f t="shared" si="13"/>
        <v>2</v>
      </c>
      <c r="S180" s="7" t="s">
        <v>170</v>
      </c>
      <c r="T180" s="7" t="s">
        <v>356</v>
      </c>
      <c r="U180" s="7" t="s">
        <v>595</v>
      </c>
      <c r="V180" s="15"/>
      <c r="W180" s="10"/>
      <c r="X180" s="10"/>
      <c r="Y180" s="10">
        <v>2</v>
      </c>
      <c r="Z180" s="25"/>
      <c r="AA180" s="39">
        <f t="shared" si="14"/>
        <v>2</v>
      </c>
      <c r="AG180" s="63">
        <f t="shared" si="15"/>
        <v>2</v>
      </c>
      <c r="AH180" s="59">
        <f t="shared" si="16"/>
        <v>0</v>
      </c>
      <c r="AI180" s="69">
        <f t="shared" si="17"/>
        <v>2</v>
      </c>
    </row>
    <row r="181" spans="1:35" s="11" customFormat="1" ht="27" customHeight="1" x14ac:dyDescent="0.2">
      <c r="A181" s="7" t="s">
        <v>171</v>
      </c>
      <c r="B181" s="7" t="s">
        <v>357</v>
      </c>
      <c r="C181" s="8" t="s">
        <v>762</v>
      </c>
      <c r="D181" s="15"/>
      <c r="E181" s="10"/>
      <c r="F181" s="10">
        <v>2</v>
      </c>
      <c r="G181" s="10"/>
      <c r="H181" s="10"/>
      <c r="I181" s="26">
        <f t="shared" si="12"/>
        <v>2</v>
      </c>
      <c r="J181" s="7" t="s">
        <v>171</v>
      </c>
      <c r="K181" s="7" t="s">
        <v>357</v>
      </c>
      <c r="L181" s="7" t="s">
        <v>978</v>
      </c>
      <c r="M181" s="15"/>
      <c r="N181" s="10"/>
      <c r="O181" s="10">
        <v>2</v>
      </c>
      <c r="P181" s="10"/>
      <c r="Q181" s="25"/>
      <c r="R181" s="31">
        <f t="shared" si="13"/>
        <v>2</v>
      </c>
      <c r="S181" s="7" t="s">
        <v>171</v>
      </c>
      <c r="T181" s="7" t="s">
        <v>357</v>
      </c>
      <c r="U181" s="7" t="s">
        <v>596</v>
      </c>
      <c r="V181" s="15"/>
      <c r="W181" s="10"/>
      <c r="X181" s="10">
        <v>2</v>
      </c>
      <c r="Y181" s="10"/>
      <c r="Z181" s="25"/>
      <c r="AA181" s="39">
        <f t="shared" si="14"/>
        <v>2</v>
      </c>
      <c r="AG181" s="63">
        <f t="shared" si="15"/>
        <v>2</v>
      </c>
      <c r="AH181" s="59">
        <f t="shared" si="16"/>
        <v>2</v>
      </c>
      <c r="AI181" s="69">
        <f t="shared" si="17"/>
        <v>2</v>
      </c>
    </row>
    <row r="182" spans="1:35" s="11" customFormat="1" ht="27" customHeight="1" x14ac:dyDescent="0.2">
      <c r="A182" s="7" t="s">
        <v>172</v>
      </c>
      <c r="B182" s="7" t="s">
        <v>358</v>
      </c>
      <c r="C182" s="9" t="s">
        <v>763</v>
      </c>
      <c r="D182" s="16">
        <v>1</v>
      </c>
      <c r="E182" s="10"/>
      <c r="F182" s="10"/>
      <c r="G182" s="10"/>
      <c r="H182" s="10"/>
      <c r="I182" s="26">
        <f t="shared" si="12"/>
        <v>1</v>
      </c>
      <c r="J182" s="7" t="s">
        <v>172</v>
      </c>
      <c r="K182" s="7" t="s">
        <v>358</v>
      </c>
      <c r="L182" s="7" t="s">
        <v>979</v>
      </c>
      <c r="M182" s="16"/>
      <c r="N182" s="10"/>
      <c r="O182" s="10"/>
      <c r="P182" s="10"/>
      <c r="Q182" s="25"/>
      <c r="R182" s="31">
        <f t="shared" si="13"/>
        <v>0</v>
      </c>
      <c r="S182" s="7" t="s">
        <v>172</v>
      </c>
      <c r="T182" s="7" t="s">
        <v>358</v>
      </c>
      <c r="U182" s="7" t="s">
        <v>597</v>
      </c>
      <c r="V182" s="16">
        <v>2</v>
      </c>
      <c r="W182" s="10"/>
      <c r="X182" s="10"/>
      <c r="Y182" s="10"/>
      <c r="Z182" s="25"/>
      <c r="AA182" s="39">
        <f t="shared" si="14"/>
        <v>2</v>
      </c>
      <c r="AG182" s="63">
        <f t="shared" si="15"/>
        <v>0</v>
      </c>
      <c r="AH182" s="59">
        <f t="shared" si="16"/>
        <v>0</v>
      </c>
      <c r="AI182" s="69">
        <f t="shared" si="17"/>
        <v>0</v>
      </c>
    </row>
    <row r="183" spans="1:35" s="11" customFormat="1" ht="27" customHeight="1" x14ac:dyDescent="0.2">
      <c r="A183" s="7" t="s">
        <v>173</v>
      </c>
      <c r="B183" s="7" t="s">
        <v>359</v>
      </c>
      <c r="C183" s="8" t="s">
        <v>764</v>
      </c>
      <c r="D183" s="15"/>
      <c r="E183" s="10"/>
      <c r="F183" s="10"/>
      <c r="G183" s="10">
        <v>2</v>
      </c>
      <c r="H183" s="10"/>
      <c r="I183" s="26">
        <f t="shared" si="12"/>
        <v>2</v>
      </c>
      <c r="J183" s="7" t="s">
        <v>173</v>
      </c>
      <c r="K183" s="7" t="s">
        <v>359</v>
      </c>
      <c r="L183" s="7" t="s">
        <v>425</v>
      </c>
      <c r="M183" s="15"/>
      <c r="N183" s="10"/>
      <c r="O183" s="10"/>
      <c r="P183" s="10"/>
      <c r="Q183" s="25"/>
      <c r="R183" s="31">
        <f t="shared" si="13"/>
        <v>0</v>
      </c>
      <c r="S183" s="7" t="s">
        <v>173</v>
      </c>
      <c r="T183" s="7" t="s">
        <v>359</v>
      </c>
      <c r="U183" s="7" t="s">
        <v>598</v>
      </c>
      <c r="V183" s="15"/>
      <c r="W183" s="10"/>
      <c r="X183" s="10">
        <v>2</v>
      </c>
      <c r="Y183" s="10"/>
      <c r="Z183" s="25"/>
      <c r="AA183" s="39">
        <f t="shared" si="14"/>
        <v>2</v>
      </c>
      <c r="AG183" s="63">
        <f t="shared" si="15"/>
        <v>2</v>
      </c>
      <c r="AH183" s="59">
        <f t="shared" si="16"/>
        <v>0</v>
      </c>
      <c r="AI183" s="69">
        <f t="shared" si="17"/>
        <v>2</v>
      </c>
    </row>
    <row r="184" spans="1:35" s="11" customFormat="1" ht="27" customHeight="1" x14ac:dyDescent="0.2">
      <c r="A184" s="7" t="s">
        <v>174</v>
      </c>
      <c r="B184" s="7" t="s">
        <v>360</v>
      </c>
      <c r="C184" s="8" t="s">
        <v>765</v>
      </c>
      <c r="D184" s="15"/>
      <c r="E184" s="10"/>
      <c r="F184" s="10"/>
      <c r="G184" s="10"/>
      <c r="H184" s="10"/>
      <c r="I184" s="26">
        <f t="shared" si="12"/>
        <v>0</v>
      </c>
      <c r="J184" s="7" t="s">
        <v>174</v>
      </c>
      <c r="K184" s="7" t="s">
        <v>360</v>
      </c>
      <c r="L184" s="7" t="s">
        <v>980</v>
      </c>
      <c r="M184" s="15"/>
      <c r="N184" s="10"/>
      <c r="O184" s="10"/>
      <c r="P184" s="10">
        <v>1</v>
      </c>
      <c r="Q184" s="25"/>
      <c r="R184" s="31">
        <f t="shared" si="13"/>
        <v>1</v>
      </c>
      <c r="S184" s="7" t="s">
        <v>174</v>
      </c>
      <c r="T184" s="7" t="s">
        <v>360</v>
      </c>
      <c r="U184" s="7" t="s">
        <v>599</v>
      </c>
      <c r="V184" s="15"/>
      <c r="W184" s="10"/>
      <c r="X184" s="10"/>
      <c r="Y184" s="10"/>
      <c r="Z184" s="25"/>
      <c r="AA184" s="39">
        <f t="shared" si="14"/>
        <v>0</v>
      </c>
      <c r="AG184" s="63">
        <f t="shared" si="15"/>
        <v>0</v>
      </c>
      <c r="AH184" s="59">
        <f t="shared" si="16"/>
        <v>1</v>
      </c>
      <c r="AI184" s="69">
        <f t="shared" si="17"/>
        <v>0</v>
      </c>
    </row>
    <row r="185" spans="1:35" s="11" customFormat="1" ht="27" customHeight="1" x14ac:dyDescent="0.2">
      <c r="A185" s="7" t="s">
        <v>175</v>
      </c>
      <c r="B185" s="7" t="s">
        <v>361</v>
      </c>
      <c r="C185" s="9" t="s">
        <v>766</v>
      </c>
      <c r="D185" s="16"/>
      <c r="E185" s="10"/>
      <c r="F185" s="10"/>
      <c r="G185" s="10"/>
      <c r="H185" s="10">
        <v>1</v>
      </c>
      <c r="I185" s="26">
        <f t="shared" si="12"/>
        <v>0.5</v>
      </c>
      <c r="J185" s="7" t="s">
        <v>175</v>
      </c>
      <c r="K185" s="7" t="s">
        <v>361</v>
      </c>
      <c r="L185" s="7" t="s">
        <v>426</v>
      </c>
      <c r="M185" s="16">
        <v>2</v>
      </c>
      <c r="N185" s="10"/>
      <c r="O185" s="10"/>
      <c r="P185" s="10"/>
      <c r="Q185" s="25"/>
      <c r="R185" s="31">
        <f t="shared" si="13"/>
        <v>2</v>
      </c>
      <c r="S185" s="7" t="s">
        <v>175</v>
      </c>
      <c r="T185" s="7" t="s">
        <v>361</v>
      </c>
      <c r="U185" s="7" t="s">
        <v>600</v>
      </c>
      <c r="V185" s="16"/>
      <c r="W185" s="10"/>
      <c r="X185" s="10"/>
      <c r="Y185" s="10"/>
      <c r="Z185" s="25"/>
      <c r="AA185" s="39">
        <f t="shared" si="14"/>
        <v>0</v>
      </c>
      <c r="AG185" s="63">
        <f t="shared" si="15"/>
        <v>0</v>
      </c>
      <c r="AH185" s="59">
        <f t="shared" si="16"/>
        <v>0</v>
      </c>
      <c r="AI185" s="69">
        <f t="shared" si="17"/>
        <v>0</v>
      </c>
    </row>
    <row r="186" spans="1:35" s="11" customFormat="1" ht="27" customHeight="1" x14ac:dyDescent="0.2">
      <c r="A186" s="7" t="s">
        <v>176</v>
      </c>
      <c r="B186" s="7" t="s">
        <v>362</v>
      </c>
      <c r="C186" s="8" t="s">
        <v>767</v>
      </c>
      <c r="D186" s="15"/>
      <c r="E186" s="10"/>
      <c r="F186" s="10"/>
      <c r="G186" s="10"/>
      <c r="H186" s="10"/>
      <c r="I186" s="26">
        <f t="shared" si="12"/>
        <v>0</v>
      </c>
      <c r="J186" s="7" t="s">
        <v>176</v>
      </c>
      <c r="K186" s="7" t="s">
        <v>362</v>
      </c>
      <c r="L186" s="7" t="s">
        <v>981</v>
      </c>
      <c r="M186" s="15"/>
      <c r="N186" s="10"/>
      <c r="O186" s="10"/>
      <c r="P186" s="10"/>
      <c r="Q186" s="25">
        <v>2</v>
      </c>
      <c r="R186" s="31">
        <f t="shared" si="13"/>
        <v>1</v>
      </c>
      <c r="S186" s="7" t="s">
        <v>176</v>
      </c>
      <c r="T186" s="7" t="s">
        <v>362</v>
      </c>
      <c r="U186" s="7" t="s">
        <v>601</v>
      </c>
      <c r="V186" s="15"/>
      <c r="W186" s="10"/>
      <c r="X186" s="10"/>
      <c r="Y186" s="10">
        <v>2</v>
      </c>
      <c r="Z186" s="25"/>
      <c r="AA186" s="39">
        <f t="shared" si="14"/>
        <v>2</v>
      </c>
      <c r="AG186" s="63">
        <f t="shared" si="15"/>
        <v>0</v>
      </c>
      <c r="AH186" s="59">
        <f t="shared" si="16"/>
        <v>0</v>
      </c>
      <c r="AI186" s="69">
        <f t="shared" si="17"/>
        <v>2</v>
      </c>
    </row>
    <row r="187" spans="1:35" s="11" customFormat="1" ht="27" customHeight="1" x14ac:dyDescent="0.2">
      <c r="A187" s="7" t="s">
        <v>177</v>
      </c>
      <c r="B187" s="7" t="s">
        <v>363</v>
      </c>
      <c r="C187" s="9" t="s">
        <v>768</v>
      </c>
      <c r="D187" s="16"/>
      <c r="E187" s="10"/>
      <c r="F187" s="10"/>
      <c r="G187" s="10"/>
      <c r="H187" s="10"/>
      <c r="I187" s="26">
        <f t="shared" si="12"/>
        <v>0</v>
      </c>
      <c r="J187" s="7" t="s">
        <v>177</v>
      </c>
      <c r="K187" s="7" t="s">
        <v>363</v>
      </c>
      <c r="L187" s="7" t="s">
        <v>982</v>
      </c>
      <c r="M187" s="16"/>
      <c r="N187" s="10"/>
      <c r="O187" s="10">
        <v>2</v>
      </c>
      <c r="P187" s="10"/>
      <c r="Q187" s="25"/>
      <c r="R187" s="31">
        <f t="shared" si="13"/>
        <v>2</v>
      </c>
      <c r="S187" s="7" t="s">
        <v>177</v>
      </c>
      <c r="T187" s="7" t="s">
        <v>363</v>
      </c>
      <c r="U187" s="7" t="s">
        <v>602</v>
      </c>
      <c r="V187" s="16"/>
      <c r="W187" s="10"/>
      <c r="X187" s="10">
        <v>2</v>
      </c>
      <c r="Y187" s="10"/>
      <c r="Z187" s="25"/>
      <c r="AA187" s="39">
        <f t="shared" si="14"/>
        <v>2</v>
      </c>
      <c r="AG187" s="63">
        <f t="shared" si="15"/>
        <v>0</v>
      </c>
      <c r="AH187" s="59">
        <f t="shared" si="16"/>
        <v>2</v>
      </c>
      <c r="AI187" s="69">
        <f t="shared" si="17"/>
        <v>2</v>
      </c>
    </row>
    <row r="188" spans="1:35" s="11" customFormat="1" ht="27" customHeight="1" x14ac:dyDescent="0.2">
      <c r="A188" s="7" t="s">
        <v>178</v>
      </c>
      <c r="B188" s="7" t="s">
        <v>364</v>
      </c>
      <c r="C188" s="8" t="s">
        <v>769</v>
      </c>
      <c r="D188" s="15"/>
      <c r="E188" s="10"/>
      <c r="F188" s="10"/>
      <c r="G188" s="10"/>
      <c r="H188" s="10">
        <v>2</v>
      </c>
      <c r="I188" s="26">
        <f t="shared" si="12"/>
        <v>1</v>
      </c>
      <c r="J188" s="7" t="s">
        <v>178</v>
      </c>
      <c r="K188" s="7" t="s">
        <v>364</v>
      </c>
      <c r="L188" s="7" t="s">
        <v>983</v>
      </c>
      <c r="M188" s="15"/>
      <c r="N188" s="10"/>
      <c r="O188" s="10"/>
      <c r="P188" s="10"/>
      <c r="Q188" s="25"/>
      <c r="R188" s="31">
        <f t="shared" si="13"/>
        <v>0</v>
      </c>
      <c r="S188" s="7" t="s">
        <v>178</v>
      </c>
      <c r="T188" s="7" t="s">
        <v>364</v>
      </c>
      <c r="U188" s="7" t="s">
        <v>603</v>
      </c>
      <c r="V188" s="15"/>
      <c r="W188" s="10"/>
      <c r="X188" s="10"/>
      <c r="Y188" s="10"/>
      <c r="Z188" s="25">
        <v>1</v>
      </c>
      <c r="AA188" s="39">
        <f t="shared" si="14"/>
        <v>0.5</v>
      </c>
      <c r="AG188" s="63">
        <f t="shared" si="15"/>
        <v>0</v>
      </c>
      <c r="AH188" s="59">
        <f t="shared" si="16"/>
        <v>0</v>
      </c>
      <c r="AI188" s="69">
        <f t="shared" si="17"/>
        <v>0</v>
      </c>
    </row>
    <row r="189" spans="1:35" s="11" customFormat="1" ht="27" customHeight="1" x14ac:dyDescent="0.2">
      <c r="A189" s="7" t="s">
        <v>179</v>
      </c>
      <c r="B189" s="7" t="s">
        <v>365</v>
      </c>
      <c r="C189" s="9" t="s">
        <v>770</v>
      </c>
      <c r="D189" s="16"/>
      <c r="E189" s="10"/>
      <c r="F189" s="10"/>
      <c r="G189" s="10"/>
      <c r="H189" s="10"/>
      <c r="I189" s="26">
        <f t="shared" si="12"/>
        <v>0</v>
      </c>
      <c r="J189" s="7" t="s">
        <v>179</v>
      </c>
      <c r="K189" s="7" t="s">
        <v>365</v>
      </c>
      <c r="L189" s="7" t="s">
        <v>427</v>
      </c>
      <c r="M189" s="16"/>
      <c r="N189" s="10"/>
      <c r="O189" s="10"/>
      <c r="P189" s="10"/>
      <c r="Q189" s="25"/>
      <c r="R189" s="31">
        <f t="shared" si="13"/>
        <v>0</v>
      </c>
      <c r="S189" s="7" t="s">
        <v>179</v>
      </c>
      <c r="T189" s="7" t="s">
        <v>365</v>
      </c>
      <c r="U189" s="7" t="s">
        <v>604</v>
      </c>
      <c r="V189" s="16"/>
      <c r="W189" s="10"/>
      <c r="X189" s="10"/>
      <c r="Y189" s="10"/>
      <c r="Z189" s="25"/>
      <c r="AA189" s="39">
        <f t="shared" si="14"/>
        <v>0</v>
      </c>
      <c r="AG189" s="63">
        <f t="shared" si="15"/>
        <v>0</v>
      </c>
      <c r="AH189" s="59">
        <f t="shared" si="16"/>
        <v>0</v>
      </c>
      <c r="AI189" s="69">
        <f t="shared" si="17"/>
        <v>0</v>
      </c>
    </row>
    <row r="190" spans="1:35" s="11" customFormat="1" ht="27" customHeight="1" x14ac:dyDescent="0.2">
      <c r="A190" s="7" t="s">
        <v>180</v>
      </c>
      <c r="B190" s="7" t="s">
        <v>366</v>
      </c>
      <c r="C190" s="8" t="s">
        <v>771</v>
      </c>
      <c r="D190" s="15"/>
      <c r="E190" s="10"/>
      <c r="F190" s="10"/>
      <c r="G190" s="10"/>
      <c r="H190" s="10">
        <v>1</v>
      </c>
      <c r="I190" s="26">
        <f t="shared" si="12"/>
        <v>0.5</v>
      </c>
      <c r="J190" s="7" t="s">
        <v>180</v>
      </c>
      <c r="K190" s="7" t="s">
        <v>366</v>
      </c>
      <c r="L190" s="7" t="s">
        <v>984</v>
      </c>
      <c r="M190" s="15"/>
      <c r="N190" s="10"/>
      <c r="O190" s="10"/>
      <c r="P190" s="10"/>
      <c r="Q190" s="25"/>
      <c r="R190" s="31">
        <f t="shared" si="13"/>
        <v>0</v>
      </c>
      <c r="S190" s="7" t="s">
        <v>180</v>
      </c>
      <c r="T190" s="7" t="s">
        <v>366</v>
      </c>
      <c r="U190" s="7" t="s">
        <v>605</v>
      </c>
      <c r="V190" s="15"/>
      <c r="W190" s="10"/>
      <c r="X190" s="10">
        <v>2</v>
      </c>
      <c r="Y190" s="10"/>
      <c r="Z190" s="25"/>
      <c r="AA190" s="39">
        <f t="shared" si="14"/>
        <v>2</v>
      </c>
      <c r="AG190" s="63">
        <f t="shared" si="15"/>
        <v>0</v>
      </c>
      <c r="AH190" s="59">
        <f t="shared" si="16"/>
        <v>0</v>
      </c>
      <c r="AI190" s="69">
        <f t="shared" si="17"/>
        <v>2</v>
      </c>
    </row>
    <row r="191" spans="1:35" s="11" customFormat="1" ht="27" customHeight="1" x14ac:dyDescent="0.2">
      <c r="A191" s="7" t="s">
        <v>181</v>
      </c>
      <c r="B191" s="7" t="s">
        <v>367</v>
      </c>
      <c r="C191" s="8" t="s">
        <v>772</v>
      </c>
      <c r="D191" s="15">
        <v>2</v>
      </c>
      <c r="E191" s="10"/>
      <c r="F191" s="10"/>
      <c r="G191" s="10"/>
      <c r="H191" s="10"/>
      <c r="I191" s="26">
        <f t="shared" si="12"/>
        <v>2</v>
      </c>
      <c r="J191" s="7" t="s">
        <v>181</v>
      </c>
      <c r="K191" s="7" t="s">
        <v>367</v>
      </c>
      <c r="L191" s="7" t="s">
        <v>985</v>
      </c>
      <c r="M191" s="15"/>
      <c r="N191" s="10"/>
      <c r="O191" s="10"/>
      <c r="P191" s="10">
        <v>2</v>
      </c>
      <c r="Q191" s="25"/>
      <c r="R191" s="31">
        <f t="shared" si="13"/>
        <v>2</v>
      </c>
      <c r="S191" s="7" t="s">
        <v>181</v>
      </c>
      <c r="T191" s="7" t="s">
        <v>367</v>
      </c>
      <c r="U191" s="7" t="s">
        <v>606</v>
      </c>
      <c r="V191" s="15"/>
      <c r="W191" s="10"/>
      <c r="X191" s="10"/>
      <c r="Y191" s="10">
        <v>2</v>
      </c>
      <c r="Z191" s="25"/>
      <c r="AA191" s="39">
        <f t="shared" si="14"/>
        <v>2</v>
      </c>
      <c r="AG191" s="63">
        <f t="shared" si="15"/>
        <v>0</v>
      </c>
      <c r="AH191" s="59">
        <f t="shared" si="16"/>
        <v>2</v>
      </c>
      <c r="AI191" s="69">
        <f t="shared" si="17"/>
        <v>2</v>
      </c>
    </row>
    <row r="192" spans="1:35" s="11" customFormat="1" ht="27" customHeight="1" x14ac:dyDescent="0.2">
      <c r="A192" s="7" t="s">
        <v>182</v>
      </c>
      <c r="B192" s="7" t="s">
        <v>368</v>
      </c>
      <c r="C192" s="8" t="s">
        <v>773</v>
      </c>
      <c r="D192" s="15"/>
      <c r="E192" s="10"/>
      <c r="F192" s="10"/>
      <c r="G192" s="10"/>
      <c r="H192" s="10">
        <v>1</v>
      </c>
      <c r="I192" s="26">
        <f t="shared" si="12"/>
        <v>0.5</v>
      </c>
      <c r="J192" s="7" t="s">
        <v>182</v>
      </c>
      <c r="K192" s="7" t="s">
        <v>368</v>
      </c>
      <c r="L192" s="7" t="s">
        <v>986</v>
      </c>
      <c r="M192" s="15">
        <v>1</v>
      </c>
      <c r="N192" s="10"/>
      <c r="O192" s="10"/>
      <c r="P192" s="10"/>
      <c r="Q192" s="25"/>
      <c r="R192" s="31">
        <f t="shared" si="13"/>
        <v>1</v>
      </c>
      <c r="S192" s="7" t="s">
        <v>182</v>
      </c>
      <c r="T192" s="7" t="s">
        <v>368</v>
      </c>
      <c r="U192" s="7" t="s">
        <v>607</v>
      </c>
      <c r="V192" s="15"/>
      <c r="W192" s="10"/>
      <c r="X192" s="10"/>
      <c r="Y192" s="10">
        <v>2</v>
      </c>
      <c r="Z192" s="25"/>
      <c r="AA192" s="39">
        <f t="shared" si="14"/>
        <v>2</v>
      </c>
      <c r="AG192" s="63">
        <f t="shared" si="15"/>
        <v>0</v>
      </c>
      <c r="AH192" s="59">
        <f t="shared" si="16"/>
        <v>0</v>
      </c>
      <c r="AI192" s="69">
        <f t="shared" si="17"/>
        <v>2</v>
      </c>
    </row>
    <row r="193" spans="1:35" s="12" customFormat="1" ht="27" customHeight="1" x14ac:dyDescent="0.2">
      <c r="A193" s="7" t="s">
        <v>804</v>
      </c>
      <c r="B193" s="7" t="s">
        <v>805</v>
      </c>
      <c r="C193" s="8" t="s">
        <v>1023</v>
      </c>
      <c r="D193" s="15"/>
      <c r="E193" s="10"/>
      <c r="F193" s="10"/>
      <c r="G193" s="10"/>
      <c r="H193" s="10"/>
      <c r="I193" s="26">
        <f t="shared" si="12"/>
        <v>0</v>
      </c>
      <c r="J193" s="7" t="s">
        <v>804</v>
      </c>
      <c r="K193" s="7" t="s">
        <v>805</v>
      </c>
      <c r="L193" s="7" t="s">
        <v>987</v>
      </c>
      <c r="M193" s="15"/>
      <c r="N193" s="10"/>
      <c r="O193" s="10"/>
      <c r="P193" s="10"/>
      <c r="Q193" s="25"/>
      <c r="R193" s="31">
        <f t="shared" si="13"/>
        <v>0</v>
      </c>
      <c r="S193" s="7" t="s">
        <v>804</v>
      </c>
      <c r="T193" s="7" t="s">
        <v>805</v>
      </c>
      <c r="U193" s="7" t="s">
        <v>843</v>
      </c>
      <c r="V193" s="15"/>
      <c r="W193" s="10"/>
      <c r="X193" s="10">
        <v>2</v>
      </c>
      <c r="Y193" s="10"/>
      <c r="Z193" s="25"/>
      <c r="AA193" s="39">
        <f t="shared" si="14"/>
        <v>2</v>
      </c>
      <c r="AG193" s="63">
        <f t="shared" si="15"/>
        <v>0</v>
      </c>
      <c r="AH193" s="59">
        <f t="shared" si="16"/>
        <v>0</v>
      </c>
      <c r="AI193" s="69">
        <f t="shared" si="17"/>
        <v>2</v>
      </c>
    </row>
    <row r="194" spans="1:35" s="11" customFormat="1" ht="27" customHeight="1" x14ac:dyDescent="0.2">
      <c r="A194" s="7" t="s">
        <v>183</v>
      </c>
      <c r="B194" s="7" t="s">
        <v>369</v>
      </c>
      <c r="C194" s="8" t="s">
        <v>1024</v>
      </c>
      <c r="D194" s="15"/>
      <c r="E194" s="10"/>
      <c r="F194" s="10"/>
      <c r="G194" s="10"/>
      <c r="H194" s="10"/>
      <c r="I194" s="26">
        <f t="shared" si="12"/>
        <v>0</v>
      </c>
      <c r="J194" s="7" t="s">
        <v>183</v>
      </c>
      <c r="K194" s="7" t="s">
        <v>369</v>
      </c>
      <c r="L194" s="7" t="s">
        <v>988</v>
      </c>
      <c r="M194" s="15"/>
      <c r="N194" s="10"/>
      <c r="O194" s="10"/>
      <c r="P194" s="10"/>
      <c r="Q194" s="25"/>
      <c r="R194" s="31">
        <f t="shared" si="13"/>
        <v>0</v>
      </c>
      <c r="S194" s="7" t="s">
        <v>183</v>
      </c>
      <c r="T194" s="7" t="s">
        <v>369</v>
      </c>
      <c r="U194" s="7" t="s">
        <v>608</v>
      </c>
      <c r="V194" s="15"/>
      <c r="W194" s="10"/>
      <c r="X194" s="10"/>
      <c r="Y194" s="10"/>
      <c r="Z194" s="25"/>
      <c r="AA194" s="39">
        <f t="shared" si="14"/>
        <v>0</v>
      </c>
      <c r="AG194" s="63">
        <f t="shared" si="15"/>
        <v>0</v>
      </c>
      <c r="AH194" s="59">
        <f t="shared" si="16"/>
        <v>0</v>
      </c>
      <c r="AI194" s="69">
        <f t="shared" si="17"/>
        <v>0</v>
      </c>
    </row>
    <row r="195" spans="1:35" s="11" customFormat="1" ht="27" customHeight="1" x14ac:dyDescent="0.2">
      <c r="A195" s="7" t="s">
        <v>184</v>
      </c>
      <c r="B195" s="7" t="s">
        <v>370</v>
      </c>
      <c r="C195" s="8" t="s">
        <v>774</v>
      </c>
      <c r="D195" s="15"/>
      <c r="E195" s="10"/>
      <c r="F195" s="10"/>
      <c r="G195" s="10">
        <v>2</v>
      </c>
      <c r="H195" s="10"/>
      <c r="I195" s="26">
        <f t="shared" ref="I195:I206" si="18">SUM(D195:G195)+(H195/2)</f>
        <v>2</v>
      </c>
      <c r="J195" s="7" t="s">
        <v>184</v>
      </c>
      <c r="K195" s="7" t="s">
        <v>370</v>
      </c>
      <c r="L195" s="7" t="s">
        <v>989</v>
      </c>
      <c r="M195" s="15"/>
      <c r="N195" s="10"/>
      <c r="O195" s="10"/>
      <c r="P195" s="10"/>
      <c r="Q195" s="25"/>
      <c r="R195" s="31">
        <f t="shared" ref="R195:R206" si="19">SUM(M195:P195)+(Q195/2)</f>
        <v>0</v>
      </c>
      <c r="S195" s="7" t="s">
        <v>184</v>
      </c>
      <c r="T195" s="7" t="s">
        <v>370</v>
      </c>
      <c r="U195" s="7" t="s">
        <v>609</v>
      </c>
      <c r="V195" s="15"/>
      <c r="W195" s="10"/>
      <c r="X195" s="10"/>
      <c r="Y195" s="10"/>
      <c r="Z195" s="25"/>
      <c r="AA195" s="39">
        <f t="shared" ref="AA195:AA206" si="20">SUM(V195:Y195)+(Z195/2)</f>
        <v>0</v>
      </c>
      <c r="AG195" s="63">
        <f t="shared" ref="AG195:AG206" si="21">SUM(E195:G195)</f>
        <v>2</v>
      </c>
      <c r="AH195" s="59">
        <f t="shared" ref="AH195:AH206" si="22">SUM(N195:P195)</f>
        <v>0</v>
      </c>
      <c r="AI195" s="69">
        <f t="shared" ref="AI195:AI206" si="23">SUM(W195:Y195)</f>
        <v>0</v>
      </c>
    </row>
    <row r="196" spans="1:35" s="11" customFormat="1" ht="27" customHeight="1" x14ac:dyDescent="0.2">
      <c r="A196" s="7" t="s">
        <v>185</v>
      </c>
      <c r="B196" s="7" t="s">
        <v>371</v>
      </c>
      <c r="C196" s="8" t="s">
        <v>775</v>
      </c>
      <c r="D196" s="15"/>
      <c r="E196" s="10"/>
      <c r="F196" s="10"/>
      <c r="G196" s="10"/>
      <c r="H196" s="10"/>
      <c r="I196" s="26">
        <f t="shared" si="18"/>
        <v>0</v>
      </c>
      <c r="J196" s="7" t="s">
        <v>185</v>
      </c>
      <c r="K196" s="7" t="s">
        <v>371</v>
      </c>
      <c r="L196" s="7" t="s">
        <v>990</v>
      </c>
      <c r="M196" s="15"/>
      <c r="N196" s="10"/>
      <c r="O196" s="10"/>
      <c r="P196" s="10">
        <v>2</v>
      </c>
      <c r="Q196" s="25"/>
      <c r="R196" s="31">
        <f t="shared" si="19"/>
        <v>2</v>
      </c>
      <c r="S196" s="7" t="s">
        <v>185</v>
      </c>
      <c r="T196" s="7" t="s">
        <v>371</v>
      </c>
      <c r="U196" s="7" t="s">
        <v>610</v>
      </c>
      <c r="V196" s="15"/>
      <c r="W196" s="10"/>
      <c r="X196" s="10"/>
      <c r="Y196" s="10"/>
      <c r="Z196" s="25">
        <v>2</v>
      </c>
      <c r="AA196" s="39">
        <f t="shared" si="20"/>
        <v>1</v>
      </c>
      <c r="AG196" s="63">
        <f t="shared" si="21"/>
        <v>0</v>
      </c>
      <c r="AH196" s="59">
        <f t="shared" si="22"/>
        <v>2</v>
      </c>
      <c r="AI196" s="69">
        <f t="shared" si="23"/>
        <v>0</v>
      </c>
    </row>
    <row r="197" spans="1:35" s="11" customFormat="1" ht="27" customHeight="1" x14ac:dyDescent="0.2">
      <c r="A197" s="7" t="s">
        <v>186</v>
      </c>
      <c r="B197" s="7" t="s">
        <v>372</v>
      </c>
      <c r="C197" s="8" t="s">
        <v>776</v>
      </c>
      <c r="D197" s="15"/>
      <c r="E197" s="10"/>
      <c r="F197" s="10">
        <v>2</v>
      </c>
      <c r="G197" s="10"/>
      <c r="H197" s="10"/>
      <c r="I197" s="26">
        <f t="shared" si="18"/>
        <v>2</v>
      </c>
      <c r="J197" s="7" t="s">
        <v>186</v>
      </c>
      <c r="K197" s="7" t="s">
        <v>372</v>
      </c>
      <c r="L197" s="7" t="s">
        <v>991</v>
      </c>
      <c r="M197" s="15"/>
      <c r="N197" s="10"/>
      <c r="O197" s="10">
        <v>2</v>
      </c>
      <c r="P197" s="10"/>
      <c r="Q197" s="25"/>
      <c r="R197" s="31">
        <f t="shared" si="19"/>
        <v>2</v>
      </c>
      <c r="S197" s="7" t="s">
        <v>186</v>
      </c>
      <c r="T197" s="7" t="s">
        <v>372</v>
      </c>
      <c r="U197" s="7" t="s">
        <v>611</v>
      </c>
      <c r="V197" s="15"/>
      <c r="W197" s="10"/>
      <c r="X197" s="10">
        <v>2</v>
      </c>
      <c r="Y197" s="10"/>
      <c r="Z197" s="25"/>
      <c r="AA197" s="39">
        <f t="shared" si="20"/>
        <v>2</v>
      </c>
      <c r="AG197" s="63">
        <f t="shared" si="21"/>
        <v>2</v>
      </c>
      <c r="AH197" s="59">
        <f t="shared" si="22"/>
        <v>2</v>
      </c>
      <c r="AI197" s="69">
        <f t="shared" si="23"/>
        <v>2</v>
      </c>
    </row>
    <row r="198" spans="1:35" s="11" customFormat="1" ht="27" customHeight="1" x14ac:dyDescent="0.2">
      <c r="A198" s="7" t="s">
        <v>187</v>
      </c>
      <c r="B198" s="7" t="s">
        <v>373</v>
      </c>
      <c r="C198" s="8" t="s">
        <v>777</v>
      </c>
      <c r="D198" s="15"/>
      <c r="E198" s="10"/>
      <c r="F198" s="10"/>
      <c r="G198" s="10"/>
      <c r="H198" s="10"/>
      <c r="I198" s="26">
        <f t="shared" si="18"/>
        <v>0</v>
      </c>
      <c r="J198" s="7" t="s">
        <v>187</v>
      </c>
      <c r="K198" s="7" t="s">
        <v>373</v>
      </c>
      <c r="L198" s="7" t="s">
        <v>428</v>
      </c>
      <c r="M198" s="15"/>
      <c r="N198" s="10"/>
      <c r="O198" s="10"/>
      <c r="P198" s="10"/>
      <c r="Q198" s="25"/>
      <c r="R198" s="31">
        <f t="shared" si="19"/>
        <v>0</v>
      </c>
      <c r="S198" s="7" t="s">
        <v>187</v>
      </c>
      <c r="T198" s="7" t="s">
        <v>373</v>
      </c>
      <c r="U198" s="7" t="s">
        <v>612</v>
      </c>
      <c r="V198" s="15"/>
      <c r="W198" s="10"/>
      <c r="X198" s="10"/>
      <c r="Y198" s="10"/>
      <c r="Z198" s="25"/>
      <c r="AA198" s="39">
        <f t="shared" si="20"/>
        <v>0</v>
      </c>
      <c r="AG198" s="63">
        <f t="shared" si="21"/>
        <v>0</v>
      </c>
      <c r="AH198" s="59">
        <f t="shared" si="22"/>
        <v>0</v>
      </c>
      <c r="AI198" s="69">
        <f t="shared" si="23"/>
        <v>0</v>
      </c>
    </row>
    <row r="199" spans="1:35" s="11" customFormat="1" ht="27" customHeight="1" x14ac:dyDescent="0.2">
      <c r="A199" s="7" t="s">
        <v>188</v>
      </c>
      <c r="B199" s="7" t="s">
        <v>374</v>
      </c>
      <c r="C199" s="8" t="s">
        <v>778</v>
      </c>
      <c r="D199" s="15"/>
      <c r="E199" s="10"/>
      <c r="F199" s="10"/>
      <c r="G199" s="10"/>
      <c r="H199" s="10"/>
      <c r="I199" s="26">
        <f t="shared" si="18"/>
        <v>0</v>
      </c>
      <c r="J199" s="7" t="s">
        <v>188</v>
      </c>
      <c r="K199" s="7" t="s">
        <v>374</v>
      </c>
      <c r="L199" s="7" t="s">
        <v>992</v>
      </c>
      <c r="M199" s="15"/>
      <c r="N199" s="10"/>
      <c r="O199" s="10"/>
      <c r="P199" s="10"/>
      <c r="Q199" s="25">
        <v>1</v>
      </c>
      <c r="R199" s="31">
        <f t="shared" si="19"/>
        <v>0.5</v>
      </c>
      <c r="S199" s="7" t="s">
        <v>188</v>
      </c>
      <c r="T199" s="7" t="s">
        <v>374</v>
      </c>
      <c r="U199" s="7" t="s">
        <v>613</v>
      </c>
      <c r="V199" s="15"/>
      <c r="W199" s="10"/>
      <c r="X199" s="10">
        <v>2</v>
      </c>
      <c r="Y199" s="10"/>
      <c r="Z199" s="25"/>
      <c r="AA199" s="39">
        <f t="shared" si="20"/>
        <v>2</v>
      </c>
      <c r="AG199" s="63">
        <f t="shared" si="21"/>
        <v>0</v>
      </c>
      <c r="AH199" s="59">
        <f t="shared" si="22"/>
        <v>0</v>
      </c>
      <c r="AI199" s="69">
        <f t="shared" si="23"/>
        <v>2</v>
      </c>
    </row>
    <row r="200" spans="1:35" s="11" customFormat="1" ht="27" customHeight="1" x14ac:dyDescent="0.2">
      <c r="A200" s="7" t="s">
        <v>189</v>
      </c>
      <c r="B200" s="7" t="s">
        <v>375</v>
      </c>
      <c r="C200" s="8" t="s">
        <v>779</v>
      </c>
      <c r="D200" s="15"/>
      <c r="E200" s="10"/>
      <c r="F200" s="10"/>
      <c r="G200" s="10"/>
      <c r="H200" s="10"/>
      <c r="I200" s="26">
        <f t="shared" si="18"/>
        <v>0</v>
      </c>
      <c r="J200" s="7" t="s">
        <v>189</v>
      </c>
      <c r="K200" s="7" t="s">
        <v>375</v>
      </c>
      <c r="L200" s="7" t="s">
        <v>993</v>
      </c>
      <c r="M200" s="15"/>
      <c r="N200" s="10"/>
      <c r="O200" s="10"/>
      <c r="P200" s="10"/>
      <c r="Q200" s="25"/>
      <c r="R200" s="31">
        <f t="shared" si="19"/>
        <v>0</v>
      </c>
      <c r="S200" s="7" t="s">
        <v>189</v>
      </c>
      <c r="T200" s="7" t="s">
        <v>375</v>
      </c>
      <c r="U200" s="7" t="s">
        <v>614</v>
      </c>
      <c r="V200" s="15"/>
      <c r="W200" s="10"/>
      <c r="X200" s="10"/>
      <c r="Y200" s="10"/>
      <c r="Z200" s="25"/>
      <c r="AA200" s="39">
        <f t="shared" si="20"/>
        <v>0</v>
      </c>
      <c r="AG200" s="63">
        <f t="shared" si="21"/>
        <v>0</v>
      </c>
      <c r="AH200" s="59">
        <f t="shared" si="22"/>
        <v>0</v>
      </c>
      <c r="AI200" s="69">
        <f t="shared" si="23"/>
        <v>0</v>
      </c>
    </row>
    <row r="201" spans="1:35" s="11" customFormat="1" ht="27" customHeight="1" x14ac:dyDescent="0.2">
      <c r="A201" s="7" t="s">
        <v>806</v>
      </c>
      <c r="B201" s="7" t="s">
        <v>807</v>
      </c>
      <c r="C201" s="8" t="s">
        <v>1025</v>
      </c>
      <c r="D201" s="15"/>
      <c r="E201" s="10"/>
      <c r="F201" s="10"/>
      <c r="G201" s="10"/>
      <c r="H201" s="10"/>
      <c r="I201" s="26">
        <f t="shared" si="18"/>
        <v>0</v>
      </c>
      <c r="J201" s="7" t="s">
        <v>806</v>
      </c>
      <c r="K201" s="7" t="s">
        <v>807</v>
      </c>
      <c r="L201" s="7" t="s">
        <v>994</v>
      </c>
      <c r="M201" s="15"/>
      <c r="N201" s="10"/>
      <c r="O201" s="10"/>
      <c r="P201" s="10"/>
      <c r="Q201" s="25"/>
      <c r="R201" s="31">
        <f t="shared" si="19"/>
        <v>0</v>
      </c>
      <c r="S201" s="7" t="s">
        <v>806</v>
      </c>
      <c r="T201" s="7" t="s">
        <v>807</v>
      </c>
      <c r="U201" s="7" t="s">
        <v>844</v>
      </c>
      <c r="V201" s="15"/>
      <c r="W201" s="10"/>
      <c r="X201" s="10"/>
      <c r="Y201" s="10"/>
      <c r="Z201" s="25"/>
      <c r="AA201" s="39">
        <f t="shared" si="20"/>
        <v>0</v>
      </c>
      <c r="AG201" s="63">
        <f t="shared" si="21"/>
        <v>0</v>
      </c>
      <c r="AH201" s="59">
        <f t="shared" si="22"/>
        <v>0</v>
      </c>
      <c r="AI201" s="69">
        <f t="shared" si="23"/>
        <v>0</v>
      </c>
    </row>
    <row r="202" spans="1:35" s="11" customFormat="1" ht="27" customHeight="1" x14ac:dyDescent="0.2">
      <c r="A202" s="7" t="s">
        <v>808</v>
      </c>
      <c r="B202" s="7" t="s">
        <v>809</v>
      </c>
      <c r="C202" s="8" t="s">
        <v>1026</v>
      </c>
      <c r="D202" s="15"/>
      <c r="E202" s="10"/>
      <c r="F202" s="10"/>
      <c r="G202" s="10">
        <v>1</v>
      </c>
      <c r="H202" s="10"/>
      <c r="I202" s="26">
        <f t="shared" si="18"/>
        <v>1</v>
      </c>
      <c r="J202" s="7" t="s">
        <v>808</v>
      </c>
      <c r="K202" s="7" t="s">
        <v>809</v>
      </c>
      <c r="L202" s="7" t="s">
        <v>995</v>
      </c>
      <c r="M202" s="15"/>
      <c r="N202" s="10"/>
      <c r="O202" s="10"/>
      <c r="P202" s="10">
        <v>2</v>
      </c>
      <c r="Q202" s="25"/>
      <c r="R202" s="31">
        <f t="shared" si="19"/>
        <v>2</v>
      </c>
      <c r="S202" s="7" t="s">
        <v>808</v>
      </c>
      <c r="T202" s="7" t="s">
        <v>809</v>
      </c>
      <c r="U202" s="7" t="s">
        <v>845</v>
      </c>
      <c r="V202" s="15"/>
      <c r="W202" s="10"/>
      <c r="X202" s="10">
        <v>2</v>
      </c>
      <c r="Y202" s="10"/>
      <c r="Z202" s="25"/>
      <c r="AA202" s="39">
        <f t="shared" si="20"/>
        <v>2</v>
      </c>
      <c r="AG202" s="63">
        <f t="shared" si="21"/>
        <v>1</v>
      </c>
      <c r="AH202" s="59">
        <f t="shared" si="22"/>
        <v>2</v>
      </c>
      <c r="AI202" s="69">
        <f t="shared" si="23"/>
        <v>2</v>
      </c>
    </row>
    <row r="203" spans="1:35" s="11" customFormat="1" ht="27" customHeight="1" x14ac:dyDescent="0.2">
      <c r="A203" s="7" t="s">
        <v>810</v>
      </c>
      <c r="B203" s="7" t="s">
        <v>811</v>
      </c>
      <c r="C203" s="8" t="s">
        <v>829</v>
      </c>
      <c r="D203" s="15"/>
      <c r="E203" s="10"/>
      <c r="F203" s="10"/>
      <c r="G203" s="10"/>
      <c r="H203" s="10"/>
      <c r="I203" s="26">
        <f t="shared" si="18"/>
        <v>0</v>
      </c>
      <c r="J203" s="7" t="s">
        <v>810</v>
      </c>
      <c r="K203" s="7" t="s">
        <v>811</v>
      </c>
      <c r="L203" s="7" t="s">
        <v>996</v>
      </c>
      <c r="M203" s="15"/>
      <c r="N203" s="10"/>
      <c r="O203" s="10"/>
      <c r="P203" s="10"/>
      <c r="Q203" s="25"/>
      <c r="R203" s="31">
        <f t="shared" si="19"/>
        <v>0</v>
      </c>
      <c r="S203" s="7" t="s">
        <v>810</v>
      </c>
      <c r="T203" s="7" t="s">
        <v>811</v>
      </c>
      <c r="U203" s="7" t="s">
        <v>846</v>
      </c>
      <c r="V203" s="15"/>
      <c r="W203" s="10"/>
      <c r="X203" s="10"/>
      <c r="Y203" s="10"/>
      <c r="Z203" s="25"/>
      <c r="AA203" s="39">
        <f t="shared" si="20"/>
        <v>0</v>
      </c>
      <c r="AG203" s="63">
        <f t="shared" si="21"/>
        <v>0</v>
      </c>
      <c r="AH203" s="59">
        <f t="shared" si="22"/>
        <v>0</v>
      </c>
      <c r="AI203" s="69">
        <f t="shared" si="23"/>
        <v>0</v>
      </c>
    </row>
    <row r="204" spans="1:35" s="11" customFormat="1" ht="27" customHeight="1" x14ac:dyDescent="0.2">
      <c r="A204" s="7" t="s">
        <v>812</v>
      </c>
      <c r="B204" s="7" t="s">
        <v>813</v>
      </c>
      <c r="C204" s="8" t="s">
        <v>1027</v>
      </c>
      <c r="D204" s="15"/>
      <c r="E204" s="10"/>
      <c r="F204" s="10"/>
      <c r="G204" s="10"/>
      <c r="H204" s="10">
        <v>1</v>
      </c>
      <c r="I204" s="26">
        <f t="shared" si="18"/>
        <v>0.5</v>
      </c>
      <c r="J204" s="7" t="s">
        <v>812</v>
      </c>
      <c r="K204" s="7" t="s">
        <v>813</v>
      </c>
      <c r="L204" s="7" t="s">
        <v>997</v>
      </c>
      <c r="M204" s="15"/>
      <c r="N204" s="10"/>
      <c r="O204" s="10"/>
      <c r="P204" s="10">
        <v>2</v>
      </c>
      <c r="Q204" s="25"/>
      <c r="R204" s="31">
        <f t="shared" si="19"/>
        <v>2</v>
      </c>
      <c r="S204" s="7" t="s">
        <v>812</v>
      </c>
      <c r="T204" s="7" t="s">
        <v>813</v>
      </c>
      <c r="U204" s="7" t="s">
        <v>847</v>
      </c>
      <c r="V204" s="15"/>
      <c r="W204" s="10"/>
      <c r="X204" s="10"/>
      <c r="Y204" s="10">
        <v>2</v>
      </c>
      <c r="Z204" s="25"/>
      <c r="AA204" s="39">
        <f t="shared" si="20"/>
        <v>2</v>
      </c>
      <c r="AG204" s="63">
        <f t="shared" si="21"/>
        <v>0</v>
      </c>
      <c r="AH204" s="59">
        <f t="shared" si="22"/>
        <v>2</v>
      </c>
      <c r="AI204" s="69">
        <f t="shared" si="23"/>
        <v>2</v>
      </c>
    </row>
    <row r="205" spans="1:35" s="11" customFormat="1" ht="27" customHeight="1" x14ac:dyDescent="0.2">
      <c r="A205" s="7" t="s">
        <v>814</v>
      </c>
      <c r="B205" s="7" t="s">
        <v>815</v>
      </c>
      <c r="C205" s="8" t="s">
        <v>830</v>
      </c>
      <c r="D205" s="15"/>
      <c r="E205" s="10">
        <v>2</v>
      </c>
      <c r="F205" s="10"/>
      <c r="G205" s="10"/>
      <c r="H205" s="10"/>
      <c r="I205" s="26">
        <f t="shared" si="18"/>
        <v>2</v>
      </c>
      <c r="J205" s="7" t="s">
        <v>814</v>
      </c>
      <c r="K205" s="7" t="s">
        <v>815</v>
      </c>
      <c r="L205" s="7" t="s">
        <v>998</v>
      </c>
      <c r="M205" s="15"/>
      <c r="N205" s="10"/>
      <c r="O205" s="10"/>
      <c r="P205" s="10"/>
      <c r="Q205" s="25"/>
      <c r="R205" s="31">
        <f t="shared" si="19"/>
        <v>0</v>
      </c>
      <c r="S205" s="7" t="s">
        <v>814</v>
      </c>
      <c r="T205" s="7" t="s">
        <v>815</v>
      </c>
      <c r="U205" s="7" t="s">
        <v>848</v>
      </c>
      <c r="V205" s="15"/>
      <c r="W205" s="10"/>
      <c r="X205" s="10"/>
      <c r="Y205" s="10">
        <v>2</v>
      </c>
      <c r="Z205" s="25"/>
      <c r="AA205" s="39">
        <f t="shared" si="20"/>
        <v>2</v>
      </c>
      <c r="AG205" s="63">
        <f t="shared" si="21"/>
        <v>2</v>
      </c>
      <c r="AH205" s="59">
        <f t="shared" si="22"/>
        <v>0</v>
      </c>
      <c r="AI205" s="69">
        <f t="shared" si="23"/>
        <v>2</v>
      </c>
    </row>
    <row r="206" spans="1:35" s="11" customFormat="1" ht="27" customHeight="1" x14ac:dyDescent="0.2">
      <c r="A206" s="7" t="s">
        <v>816</v>
      </c>
      <c r="B206" s="7" t="s">
        <v>817</v>
      </c>
      <c r="C206" s="8" t="s">
        <v>1028</v>
      </c>
      <c r="D206" s="15"/>
      <c r="E206" s="10"/>
      <c r="F206" s="10"/>
      <c r="G206" s="10"/>
      <c r="H206" s="10"/>
      <c r="I206" s="26">
        <f t="shared" si="18"/>
        <v>0</v>
      </c>
      <c r="J206" s="7" t="s">
        <v>816</v>
      </c>
      <c r="K206" s="7" t="s">
        <v>817</v>
      </c>
      <c r="L206" s="7" t="s">
        <v>999</v>
      </c>
      <c r="M206" s="15"/>
      <c r="N206" s="10"/>
      <c r="O206" s="10"/>
      <c r="P206" s="10"/>
      <c r="Q206" s="25"/>
      <c r="R206" s="31">
        <f t="shared" si="19"/>
        <v>0</v>
      </c>
      <c r="S206" s="7" t="s">
        <v>816</v>
      </c>
      <c r="T206" s="7" t="s">
        <v>817</v>
      </c>
      <c r="U206" s="7" t="s">
        <v>849</v>
      </c>
      <c r="V206" s="15"/>
      <c r="W206" s="10"/>
      <c r="X206" s="10"/>
      <c r="Y206" s="10">
        <v>1</v>
      </c>
      <c r="Z206" s="25"/>
      <c r="AA206" s="39">
        <f t="shared" si="20"/>
        <v>1</v>
      </c>
      <c r="AG206" s="63">
        <f t="shared" si="21"/>
        <v>0</v>
      </c>
      <c r="AH206" s="59">
        <f t="shared" si="22"/>
        <v>0</v>
      </c>
      <c r="AI206" s="69">
        <f t="shared" si="23"/>
        <v>1</v>
      </c>
    </row>
    <row r="207" spans="1:35" ht="24" x14ac:dyDescent="0.3">
      <c r="C207" s="1" t="s">
        <v>1034</v>
      </c>
      <c r="D207" s="17">
        <f t="shared" ref="D207:G207" si="24">SUM(D2:D206)</f>
        <v>35</v>
      </c>
      <c r="E207" s="13">
        <f t="shared" si="24"/>
        <v>2</v>
      </c>
      <c r="F207" s="13">
        <f t="shared" si="24"/>
        <v>65</v>
      </c>
      <c r="G207" s="13">
        <f t="shared" si="24"/>
        <v>52</v>
      </c>
      <c r="H207" s="13">
        <f>SUM(H2:H206)/2</f>
        <v>30</v>
      </c>
      <c r="I207" s="20">
        <f>SUM(D207:H207)</f>
        <v>184</v>
      </c>
      <c r="L207" s="1" t="s">
        <v>1034</v>
      </c>
      <c r="M207" s="17">
        <f t="shared" ref="M207:P207" si="25">SUM(M2:M206)</f>
        <v>26</v>
      </c>
      <c r="N207" s="13">
        <f t="shared" si="25"/>
        <v>2</v>
      </c>
      <c r="O207" s="13">
        <f t="shared" si="25"/>
        <v>61</v>
      </c>
      <c r="P207" s="13">
        <f t="shared" si="25"/>
        <v>81</v>
      </c>
      <c r="Q207" s="21">
        <f>SUM(Q2:Q206)/2</f>
        <v>5.5</v>
      </c>
      <c r="R207" s="21">
        <f>SUM(M207:Q207)</f>
        <v>175.5</v>
      </c>
      <c r="U207" s="1" t="s">
        <v>1034</v>
      </c>
      <c r="V207" s="17">
        <f t="shared" ref="V207:Y207" si="26">SUM(V2:V206)</f>
        <v>22</v>
      </c>
      <c r="W207" s="13">
        <f t="shared" si="26"/>
        <v>2</v>
      </c>
      <c r="X207" s="13">
        <f t="shared" si="26"/>
        <v>168</v>
      </c>
      <c r="Y207" s="13">
        <f t="shared" si="26"/>
        <v>103</v>
      </c>
      <c r="Z207" s="21">
        <f>SUM(Z2:Z206)/2</f>
        <v>3.5</v>
      </c>
      <c r="AA207" s="40">
        <f>SUM(V207:Z207)</f>
        <v>298.5</v>
      </c>
      <c r="AG207" s="64"/>
      <c r="AH207" s="60"/>
      <c r="AI207" s="67"/>
    </row>
    <row r="208" spans="1:35" ht="24" x14ac:dyDescent="0.3">
      <c r="C208" s="1" t="s">
        <v>1035</v>
      </c>
      <c r="D208" s="33">
        <f>D207/$I$207</f>
        <v>0.19021739130434784</v>
      </c>
      <c r="E208" s="34">
        <f>E207/$I$207</f>
        <v>1.0869565217391304E-2</v>
      </c>
      <c r="F208" s="34">
        <f>F207/$I$207</f>
        <v>0.35326086956521741</v>
      </c>
      <c r="G208" s="34">
        <f>G207/$I$207</f>
        <v>0.28260869565217389</v>
      </c>
      <c r="H208" s="34">
        <f>H207/$I$207</f>
        <v>0.16304347826086957</v>
      </c>
      <c r="L208" s="1" t="s">
        <v>1035</v>
      </c>
      <c r="M208" s="33">
        <f>M207/$R$207</f>
        <v>0.14814814814814814</v>
      </c>
      <c r="N208" s="34">
        <f>N207/$R$207</f>
        <v>1.1396011396011397E-2</v>
      </c>
      <c r="O208" s="34">
        <f>O207/$R$207</f>
        <v>0.3475783475783476</v>
      </c>
      <c r="P208" s="34">
        <f>P207/$R$207</f>
        <v>0.46153846153846156</v>
      </c>
      <c r="Q208" s="34">
        <f>Q207/$R$207</f>
        <v>3.1339031339031341E-2</v>
      </c>
      <c r="U208" s="1" t="s">
        <v>1035</v>
      </c>
      <c r="V208" s="33">
        <f>V207/$AA$207</f>
        <v>7.3701842546063656E-2</v>
      </c>
      <c r="W208" s="34">
        <f>W207/$AA$207</f>
        <v>6.7001675041876048E-3</v>
      </c>
      <c r="X208" s="34">
        <f>X207/$AA$207</f>
        <v>0.56281407035175879</v>
      </c>
      <c r="Y208" s="34">
        <f>Y207/$AA$207</f>
        <v>0.34505862646566166</v>
      </c>
      <c r="Z208" s="34">
        <f>Z207/$AA$207</f>
        <v>1.1725293132328308E-2</v>
      </c>
      <c r="AA208" s="21"/>
      <c r="AG208" s="64"/>
      <c r="AH208" s="60"/>
      <c r="AI208" s="67"/>
    </row>
    <row r="209" spans="3:35" ht="24" x14ac:dyDescent="0.3">
      <c r="C209" s="1" t="s">
        <v>1036</v>
      </c>
      <c r="D209" s="28">
        <f>I207/205</f>
        <v>0.89756097560975612</v>
      </c>
      <c r="L209" s="1" t="s">
        <v>1036</v>
      </c>
      <c r="M209" s="28">
        <f>R207/205</f>
        <v>0.85609756097560974</v>
      </c>
      <c r="Q209" s="13"/>
      <c r="U209" s="1" t="s">
        <v>1036</v>
      </c>
      <c r="V209" s="28">
        <f>AA207/205</f>
        <v>1.4560975609756097</v>
      </c>
      <c r="Z209" s="13"/>
      <c r="AA209" s="21"/>
      <c r="AG209" s="64"/>
      <c r="AH209" s="60"/>
      <c r="AI209" s="67"/>
    </row>
    <row r="210" spans="3:35" ht="24" x14ac:dyDescent="0.3">
      <c r="C210" s="36" t="s">
        <v>1043</v>
      </c>
      <c r="D210" s="44">
        <f>COUNTIFS(I2:I206,"=0")</f>
        <v>68</v>
      </c>
      <c r="L210" s="36" t="s">
        <v>1042</v>
      </c>
      <c r="M210" s="44">
        <f>COUNTIFS(R2:R206,"=0")</f>
        <v>104</v>
      </c>
      <c r="Q210" s="13"/>
      <c r="U210" s="36" t="s">
        <v>1042</v>
      </c>
      <c r="V210" s="44">
        <f>COUNTIFS(AA2:AA206,"=0")</f>
        <v>44</v>
      </c>
      <c r="Z210" s="13"/>
      <c r="AA210" s="21"/>
      <c r="AG210" s="64"/>
      <c r="AH210" s="60"/>
      <c r="AI210" s="67"/>
    </row>
    <row r="211" spans="3:35" ht="24" x14ac:dyDescent="0.3">
      <c r="C211" s="36" t="s">
        <v>1039</v>
      </c>
      <c r="D211" s="37">
        <f>D210/205</f>
        <v>0.33170731707317075</v>
      </c>
      <c r="L211" s="36" t="s">
        <v>1039</v>
      </c>
      <c r="M211" s="37">
        <f>M210/205</f>
        <v>0.50731707317073171</v>
      </c>
      <c r="Q211" s="13"/>
      <c r="U211" s="36" t="s">
        <v>1039</v>
      </c>
      <c r="V211" s="37">
        <f>V210/205</f>
        <v>0.21463414634146341</v>
      </c>
      <c r="Z211" s="13"/>
      <c r="AA211" s="21"/>
      <c r="AG211" s="64"/>
      <c r="AH211" s="60"/>
      <c r="AI211" s="67"/>
    </row>
    <row r="212" spans="3:35" ht="24" x14ac:dyDescent="0.3">
      <c r="C212" s="54" t="s">
        <v>1044</v>
      </c>
      <c r="D212" s="56">
        <f>COUNTIFS(I2:I206,"&gt;0", I2:I206,"&lt;=1")</f>
        <v>70</v>
      </c>
      <c r="L212" s="54" t="s">
        <v>1037</v>
      </c>
      <c r="M212" s="56">
        <f>COUNTIFS(R2:R206,"&gt;0", R2:R206,"&lt;=1")</f>
        <v>25</v>
      </c>
      <c r="Q212" s="13"/>
      <c r="U212" s="54" t="s">
        <v>1037</v>
      </c>
      <c r="V212" s="56">
        <f>COUNTIFS(AA2:AA206,"&gt;0", AA2:AA206,"&lt;=1")</f>
        <v>21</v>
      </c>
      <c r="Z212" s="13"/>
      <c r="AA212" s="21"/>
      <c r="AG212" s="64"/>
      <c r="AH212" s="60"/>
      <c r="AI212" s="67"/>
    </row>
    <row r="213" spans="3:35" ht="24" x14ac:dyDescent="0.3">
      <c r="C213" s="54" t="s">
        <v>1040</v>
      </c>
      <c r="D213" s="55">
        <f>D212/205</f>
        <v>0.34146341463414637</v>
      </c>
      <c r="L213" s="54" t="s">
        <v>1040</v>
      </c>
      <c r="M213" s="55">
        <f>M212/205</f>
        <v>0.12195121951219512</v>
      </c>
      <c r="Q213" s="13"/>
      <c r="U213" s="54" t="s">
        <v>1040</v>
      </c>
      <c r="V213" s="55">
        <f>V212/205</f>
        <v>0.1024390243902439</v>
      </c>
      <c r="Z213" s="13"/>
      <c r="AA213" s="21"/>
      <c r="AG213" s="64"/>
      <c r="AH213" s="60"/>
      <c r="AI213" s="67"/>
    </row>
    <row r="214" spans="3:35" ht="24" x14ac:dyDescent="0.3">
      <c r="C214" s="52" t="s">
        <v>1045</v>
      </c>
      <c r="D214" s="57">
        <f>COUNTIFS(I2:I206,"&gt;1")</f>
        <v>67</v>
      </c>
      <c r="L214" s="52" t="s">
        <v>1038</v>
      </c>
      <c r="M214" s="57">
        <f>COUNTIFS(R2:R206,"&gt;1")</f>
        <v>76</v>
      </c>
      <c r="Q214" s="13"/>
      <c r="U214" s="52" t="s">
        <v>1038</v>
      </c>
      <c r="V214" s="57">
        <f>COUNTIFS(AA2:AA206,"&gt;1")</f>
        <v>140</v>
      </c>
      <c r="Z214" s="13"/>
      <c r="AA214" s="21"/>
      <c r="AG214" s="64"/>
      <c r="AH214" s="60"/>
      <c r="AI214" s="67"/>
    </row>
    <row r="215" spans="3:35" ht="24" x14ac:dyDescent="0.3">
      <c r="C215" s="52" t="s">
        <v>1041</v>
      </c>
      <c r="D215" s="53">
        <f>D214/205</f>
        <v>0.32682926829268294</v>
      </c>
      <c r="L215" s="52" t="s">
        <v>1041</v>
      </c>
      <c r="M215" s="53">
        <f>M214/205</f>
        <v>0.37073170731707317</v>
      </c>
      <c r="Q215" s="13"/>
      <c r="U215" s="52" t="s">
        <v>1041</v>
      </c>
      <c r="V215" s="53">
        <f>V214/205</f>
        <v>0.68292682926829273</v>
      </c>
      <c r="Z215" s="13"/>
      <c r="AA215" s="21"/>
      <c r="AG215" s="64"/>
      <c r="AH215" s="60"/>
      <c r="AI215" s="67"/>
    </row>
  </sheetData>
  <pageMargins left="0.25" right="0.25" top="0.75" bottom="0.75" header="0.3" footer="0.3"/>
  <pageSetup paperSize="9" scale="12" fitToHeight="0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B3194-C32F-474A-BCA1-E6BD4F40E824}">
  <sheetPr>
    <pageSetUpPr fitToPage="1"/>
  </sheetPr>
  <dimension ref="A1:AP215"/>
  <sheetViews>
    <sheetView topLeftCell="A174" zoomScale="34" zoomScaleNormal="30" workbookViewId="0">
      <selection activeCell="K229" sqref="K229"/>
    </sheetView>
  </sheetViews>
  <sheetFormatPr baseColWidth="10" defaultColWidth="8.83203125" defaultRowHeight="23" x14ac:dyDescent="0.3"/>
  <cols>
    <col min="1" max="1" width="56.6640625" style="1" customWidth="1"/>
    <col min="2" max="2" width="82.6640625" style="1" customWidth="1"/>
    <col min="3" max="3" width="77.1640625" style="1" customWidth="1"/>
    <col min="4" max="4" width="11.1640625" style="28" customWidth="1"/>
    <col min="5" max="8" width="9.33203125" style="21" bestFit="1" customWidth="1"/>
    <col min="9" max="9" width="10.83203125" style="20" bestFit="1" customWidth="1"/>
    <col min="10" max="10" width="57.1640625" style="1" customWidth="1"/>
    <col min="11" max="11" width="83.5" style="1" customWidth="1"/>
    <col min="12" max="12" width="81.6640625" customWidth="1"/>
    <col min="13" max="13" width="11.1640625" style="28" customWidth="1"/>
    <col min="14" max="17" width="9.33203125" style="21" bestFit="1" customWidth="1"/>
    <col min="18" max="18" width="10.83203125" style="21" bestFit="1" customWidth="1"/>
    <col min="19" max="19" width="56.83203125" style="1" customWidth="1"/>
    <col min="20" max="20" width="83.5" style="1" customWidth="1"/>
    <col min="21" max="21" width="81.6640625" customWidth="1"/>
    <col min="22" max="22" width="11.1640625" style="28" customWidth="1"/>
    <col min="23" max="23" width="9.33203125" style="21" bestFit="1" customWidth="1"/>
    <col min="24" max="25" width="10.83203125" style="21" bestFit="1" customWidth="1"/>
    <col min="26" max="26" width="9.33203125" style="21" bestFit="1" customWidth="1"/>
    <col min="27" max="27" width="10.83203125" style="51" bestFit="1" customWidth="1"/>
    <col min="33" max="33" width="45.1640625" style="65" customWidth="1"/>
    <col min="34" max="34" width="45.5" style="61" customWidth="1"/>
    <col min="35" max="35" width="46" style="68" customWidth="1"/>
  </cols>
  <sheetData>
    <row r="1" spans="1:42" s="6" customFormat="1" ht="50" customHeight="1" x14ac:dyDescent="0.25">
      <c r="A1" s="2" t="s">
        <v>1029</v>
      </c>
      <c r="B1" s="2" t="s">
        <v>1030</v>
      </c>
      <c r="C1" s="3" t="s">
        <v>1031</v>
      </c>
      <c r="D1" s="22" t="s">
        <v>1000</v>
      </c>
      <c r="E1" s="22" t="s">
        <v>1</v>
      </c>
      <c r="F1" s="22" t="s">
        <v>0</v>
      </c>
      <c r="G1" s="22" t="s">
        <v>3</v>
      </c>
      <c r="H1" s="22" t="s">
        <v>1001</v>
      </c>
      <c r="I1" s="23" t="s">
        <v>2</v>
      </c>
      <c r="J1" s="2" t="s">
        <v>1029</v>
      </c>
      <c r="K1" s="2" t="s">
        <v>1030</v>
      </c>
      <c r="L1" s="4" t="s">
        <v>1032</v>
      </c>
      <c r="M1" s="29" t="s">
        <v>1000</v>
      </c>
      <c r="N1" s="29" t="s">
        <v>1</v>
      </c>
      <c r="O1" s="29" t="s">
        <v>0</v>
      </c>
      <c r="P1" s="29" t="s">
        <v>3</v>
      </c>
      <c r="Q1" s="29" t="s">
        <v>1001</v>
      </c>
      <c r="R1" s="30" t="s">
        <v>2</v>
      </c>
      <c r="S1" s="2" t="s">
        <v>1029</v>
      </c>
      <c r="T1" s="2" t="s">
        <v>1030</v>
      </c>
      <c r="U1" s="5" t="s">
        <v>1033</v>
      </c>
      <c r="V1" s="32" t="s">
        <v>1000</v>
      </c>
      <c r="W1" s="32" t="s">
        <v>1</v>
      </c>
      <c r="X1" s="32" t="s">
        <v>0</v>
      </c>
      <c r="Y1" s="32" t="s">
        <v>3</v>
      </c>
      <c r="Z1" s="32" t="s">
        <v>1001</v>
      </c>
      <c r="AA1" s="48" t="s">
        <v>2</v>
      </c>
      <c r="AG1" s="62" t="s">
        <v>1046</v>
      </c>
      <c r="AH1" s="58" t="s">
        <v>1047</v>
      </c>
      <c r="AI1" s="66" t="s">
        <v>1048</v>
      </c>
    </row>
    <row r="2" spans="1:42" s="11" customFormat="1" ht="27" customHeight="1" x14ac:dyDescent="0.2">
      <c r="A2" s="7" t="s">
        <v>4</v>
      </c>
      <c r="B2" s="7" t="s">
        <v>190</v>
      </c>
      <c r="C2" s="8" t="s">
        <v>1002</v>
      </c>
      <c r="D2" s="24"/>
      <c r="E2" s="25"/>
      <c r="F2" s="25"/>
      <c r="G2" s="25">
        <v>1</v>
      </c>
      <c r="H2" s="25"/>
      <c r="I2" s="26">
        <f>SUM(D2:G2)+(H2/2)</f>
        <v>1</v>
      </c>
      <c r="J2" s="7" t="s">
        <v>4</v>
      </c>
      <c r="K2" s="7" t="s">
        <v>190</v>
      </c>
      <c r="L2" s="7" t="s">
        <v>376</v>
      </c>
      <c r="M2" s="24"/>
      <c r="N2" s="25"/>
      <c r="O2" s="25"/>
      <c r="P2" s="25"/>
      <c r="Q2" s="25">
        <v>2</v>
      </c>
      <c r="R2" s="31">
        <f>SUM(M2:P2)+(Q2/2)</f>
        <v>1</v>
      </c>
      <c r="S2" s="7" t="s">
        <v>4</v>
      </c>
      <c r="T2" s="7" t="s">
        <v>190</v>
      </c>
      <c r="U2" s="7" t="s">
        <v>429</v>
      </c>
      <c r="V2" s="24"/>
      <c r="W2" s="25">
        <v>1</v>
      </c>
      <c r="X2" s="25"/>
      <c r="Y2" s="25"/>
      <c r="Z2" s="25"/>
      <c r="AA2" s="49">
        <f>SUM(V2:Y2)+(Z2/2)</f>
        <v>1</v>
      </c>
      <c r="AG2" s="63">
        <f>SUM(E2:G2)</f>
        <v>1</v>
      </c>
      <c r="AH2" s="59">
        <f>SUM(N2:P2)</f>
        <v>0</v>
      </c>
      <c r="AI2" s="69">
        <f>SUM(W2:Y2)</f>
        <v>1</v>
      </c>
    </row>
    <row r="3" spans="1:42" s="11" customFormat="1" ht="27" customHeight="1" x14ac:dyDescent="0.2">
      <c r="A3" s="7" t="s">
        <v>5</v>
      </c>
      <c r="B3" s="7" t="s">
        <v>191</v>
      </c>
      <c r="C3" s="8" t="s">
        <v>615</v>
      </c>
      <c r="D3" s="24"/>
      <c r="E3" s="25"/>
      <c r="F3" s="25"/>
      <c r="G3" s="25">
        <v>1</v>
      </c>
      <c r="H3" s="25"/>
      <c r="I3" s="26">
        <f t="shared" ref="I3:I66" si="0">SUM(D3:G3)+(H3/2)</f>
        <v>1</v>
      </c>
      <c r="J3" s="7" t="s">
        <v>5</v>
      </c>
      <c r="K3" s="7" t="s">
        <v>191</v>
      </c>
      <c r="L3" s="7" t="s">
        <v>850</v>
      </c>
      <c r="M3" s="24"/>
      <c r="N3" s="25"/>
      <c r="O3" s="25"/>
      <c r="P3" s="25"/>
      <c r="Q3" s="25"/>
      <c r="R3" s="31">
        <f t="shared" ref="R3:R66" si="1">SUM(M3:P3)+(Q3/2)</f>
        <v>0</v>
      </c>
      <c r="S3" s="7" t="s">
        <v>5</v>
      </c>
      <c r="T3" s="7" t="s">
        <v>191</v>
      </c>
      <c r="U3" s="7" t="s">
        <v>430</v>
      </c>
      <c r="V3" s="24"/>
      <c r="W3" s="25"/>
      <c r="X3" s="25"/>
      <c r="Y3" s="25">
        <v>2</v>
      </c>
      <c r="Z3" s="25"/>
      <c r="AA3" s="49">
        <f t="shared" ref="AA3:AA66" si="2">SUM(V3:Y3)+(Z3/2)</f>
        <v>2</v>
      </c>
      <c r="AG3" s="63">
        <f t="shared" ref="AG3:AG66" si="3">SUM(E3:G3)</f>
        <v>1</v>
      </c>
      <c r="AH3" s="59">
        <f t="shared" ref="AH3:AH66" si="4">SUM(N3:P3)</f>
        <v>0</v>
      </c>
      <c r="AI3" s="69">
        <f t="shared" ref="AI3:AI66" si="5">SUM(W3:Y3)</f>
        <v>2</v>
      </c>
    </row>
    <row r="4" spans="1:42" s="11" customFormat="1" ht="27" customHeight="1" x14ac:dyDescent="0.2">
      <c r="A4" s="7" t="s">
        <v>6</v>
      </c>
      <c r="B4" s="7" t="s">
        <v>192</v>
      </c>
      <c r="C4" s="8" t="s">
        <v>616</v>
      </c>
      <c r="D4" s="24"/>
      <c r="E4" s="25"/>
      <c r="F4" s="25"/>
      <c r="G4" s="25">
        <v>2</v>
      </c>
      <c r="H4" s="25"/>
      <c r="I4" s="26">
        <f t="shared" si="0"/>
        <v>2</v>
      </c>
      <c r="J4" s="7" t="s">
        <v>6</v>
      </c>
      <c r="K4" s="7" t="s">
        <v>192</v>
      </c>
      <c r="L4" s="7" t="s">
        <v>851</v>
      </c>
      <c r="M4" s="24"/>
      <c r="N4" s="25"/>
      <c r="O4" s="25">
        <v>2</v>
      </c>
      <c r="P4" s="25"/>
      <c r="Q4" s="25"/>
      <c r="R4" s="31">
        <f t="shared" si="1"/>
        <v>2</v>
      </c>
      <c r="S4" s="7" t="s">
        <v>6</v>
      </c>
      <c r="T4" s="7" t="s">
        <v>192</v>
      </c>
      <c r="U4" s="7" t="s">
        <v>431</v>
      </c>
      <c r="V4" s="24">
        <v>2</v>
      </c>
      <c r="W4" s="25"/>
      <c r="X4" s="25">
        <v>2</v>
      </c>
      <c r="Y4" s="25"/>
      <c r="Z4" s="25"/>
      <c r="AA4" s="49">
        <f t="shared" si="2"/>
        <v>4</v>
      </c>
      <c r="AG4" s="63">
        <f t="shared" si="3"/>
        <v>2</v>
      </c>
      <c r="AH4" s="59">
        <f t="shared" si="4"/>
        <v>2</v>
      </c>
      <c r="AI4" s="69">
        <f t="shared" si="5"/>
        <v>2</v>
      </c>
    </row>
    <row r="5" spans="1:42" s="11" customFormat="1" ht="27" customHeight="1" x14ac:dyDescent="0.2">
      <c r="A5" s="7" t="s">
        <v>7</v>
      </c>
      <c r="B5" s="7" t="s">
        <v>193</v>
      </c>
      <c r="C5" s="8" t="s">
        <v>617</v>
      </c>
      <c r="D5" s="24"/>
      <c r="E5" s="25"/>
      <c r="F5" s="25">
        <v>2</v>
      </c>
      <c r="G5" s="25"/>
      <c r="H5" s="25"/>
      <c r="I5" s="26">
        <f t="shared" si="0"/>
        <v>2</v>
      </c>
      <c r="J5" s="7" t="s">
        <v>7</v>
      </c>
      <c r="K5" s="7" t="s">
        <v>193</v>
      </c>
      <c r="L5" s="7" t="s">
        <v>852</v>
      </c>
      <c r="M5" s="24"/>
      <c r="N5" s="25"/>
      <c r="O5" s="25">
        <v>2</v>
      </c>
      <c r="P5" s="25"/>
      <c r="Q5" s="25"/>
      <c r="R5" s="31">
        <f t="shared" si="1"/>
        <v>2</v>
      </c>
      <c r="S5" s="7" t="s">
        <v>7</v>
      </c>
      <c r="T5" s="7" t="s">
        <v>193</v>
      </c>
      <c r="U5" s="7" t="s">
        <v>432</v>
      </c>
      <c r="V5" s="24">
        <v>2</v>
      </c>
      <c r="W5" s="25"/>
      <c r="X5" s="25">
        <v>2</v>
      </c>
      <c r="Y5" s="25"/>
      <c r="Z5" s="25"/>
      <c r="AA5" s="49">
        <f t="shared" si="2"/>
        <v>4</v>
      </c>
      <c r="AG5" s="63">
        <f t="shared" si="3"/>
        <v>2</v>
      </c>
      <c r="AH5" s="59">
        <f t="shared" si="4"/>
        <v>2</v>
      </c>
      <c r="AI5" s="69">
        <f t="shared" si="5"/>
        <v>2</v>
      </c>
    </row>
    <row r="6" spans="1:42" s="11" customFormat="1" ht="27" customHeight="1" x14ac:dyDescent="0.2">
      <c r="A6" s="7" t="s">
        <v>8</v>
      </c>
      <c r="B6" s="7" t="s">
        <v>194</v>
      </c>
      <c r="C6" s="8" t="s">
        <v>1003</v>
      </c>
      <c r="D6" s="24"/>
      <c r="E6" s="25"/>
      <c r="F6" s="25"/>
      <c r="G6" s="25"/>
      <c r="H6" s="25"/>
      <c r="I6" s="26">
        <f t="shared" si="0"/>
        <v>0</v>
      </c>
      <c r="J6" s="7" t="s">
        <v>8</v>
      </c>
      <c r="K6" s="7" t="s">
        <v>194</v>
      </c>
      <c r="L6" s="7" t="s">
        <v>377</v>
      </c>
      <c r="M6" s="24"/>
      <c r="N6" s="25"/>
      <c r="O6" s="25"/>
      <c r="P6" s="25"/>
      <c r="Q6" s="25">
        <v>1</v>
      </c>
      <c r="R6" s="31">
        <f t="shared" si="1"/>
        <v>0.5</v>
      </c>
      <c r="S6" s="7" t="s">
        <v>8</v>
      </c>
      <c r="T6" s="7" t="s">
        <v>194</v>
      </c>
      <c r="U6" s="7" t="s">
        <v>433</v>
      </c>
      <c r="V6" s="24"/>
      <c r="W6" s="25"/>
      <c r="X6" s="25"/>
      <c r="Y6" s="25"/>
      <c r="Z6" s="25">
        <v>1</v>
      </c>
      <c r="AA6" s="49">
        <f t="shared" si="2"/>
        <v>0.5</v>
      </c>
      <c r="AG6" s="63">
        <f t="shared" si="3"/>
        <v>0</v>
      </c>
      <c r="AH6" s="59">
        <f t="shared" si="4"/>
        <v>0</v>
      </c>
      <c r="AI6" s="69">
        <f t="shared" si="5"/>
        <v>0</v>
      </c>
    </row>
    <row r="7" spans="1:42" s="11" customFormat="1" ht="27" customHeight="1" x14ac:dyDescent="0.2">
      <c r="A7" s="7" t="s">
        <v>9</v>
      </c>
      <c r="B7" s="7" t="s">
        <v>195</v>
      </c>
      <c r="C7" s="8" t="s">
        <v>618</v>
      </c>
      <c r="D7" s="24"/>
      <c r="E7" s="25"/>
      <c r="F7" s="25"/>
      <c r="G7" s="25"/>
      <c r="H7" s="25"/>
      <c r="I7" s="26">
        <f t="shared" si="0"/>
        <v>0</v>
      </c>
      <c r="J7" s="7" t="s">
        <v>9</v>
      </c>
      <c r="K7" s="7" t="s">
        <v>195</v>
      </c>
      <c r="L7" s="7" t="s">
        <v>853</v>
      </c>
      <c r="M7" s="24"/>
      <c r="N7" s="25"/>
      <c r="O7" s="25"/>
      <c r="P7" s="25">
        <v>2</v>
      </c>
      <c r="Q7" s="25"/>
      <c r="R7" s="31">
        <f t="shared" si="1"/>
        <v>2</v>
      </c>
      <c r="S7" s="7" t="s">
        <v>9</v>
      </c>
      <c r="T7" s="7" t="s">
        <v>195</v>
      </c>
      <c r="U7" s="7" t="s">
        <v>434</v>
      </c>
      <c r="V7" s="24"/>
      <c r="W7" s="25"/>
      <c r="X7" s="25"/>
      <c r="Y7" s="25"/>
      <c r="Z7" s="25"/>
      <c r="AA7" s="49">
        <f t="shared" si="2"/>
        <v>0</v>
      </c>
      <c r="AG7" s="63">
        <f t="shared" si="3"/>
        <v>0</v>
      </c>
      <c r="AH7" s="59">
        <f t="shared" si="4"/>
        <v>2</v>
      </c>
      <c r="AI7" s="69">
        <f t="shared" si="5"/>
        <v>0</v>
      </c>
    </row>
    <row r="8" spans="1:42" s="11" customFormat="1" ht="27" customHeight="1" x14ac:dyDescent="0.2">
      <c r="A8" s="7" t="s">
        <v>10</v>
      </c>
      <c r="B8" s="7" t="s">
        <v>196</v>
      </c>
      <c r="C8" s="8" t="s">
        <v>619</v>
      </c>
      <c r="D8" s="24"/>
      <c r="E8" s="25"/>
      <c r="F8" s="25">
        <v>1</v>
      </c>
      <c r="G8" s="25"/>
      <c r="H8" s="25"/>
      <c r="I8" s="26">
        <f t="shared" si="0"/>
        <v>1</v>
      </c>
      <c r="J8" s="7" t="s">
        <v>10</v>
      </c>
      <c r="K8" s="7" t="s">
        <v>196</v>
      </c>
      <c r="L8" s="7" t="s">
        <v>378</v>
      </c>
      <c r="M8" s="24"/>
      <c r="N8" s="25"/>
      <c r="O8" s="25"/>
      <c r="P8" s="25">
        <v>2</v>
      </c>
      <c r="Q8" s="25"/>
      <c r="R8" s="31">
        <f t="shared" si="1"/>
        <v>2</v>
      </c>
      <c r="S8" s="7" t="s">
        <v>10</v>
      </c>
      <c r="T8" s="7" t="s">
        <v>196</v>
      </c>
      <c r="U8" s="7" t="s">
        <v>435</v>
      </c>
      <c r="V8" s="24"/>
      <c r="W8" s="25"/>
      <c r="X8" s="25"/>
      <c r="Y8" s="25"/>
      <c r="Z8" s="25">
        <v>1</v>
      </c>
      <c r="AA8" s="49">
        <f t="shared" si="2"/>
        <v>0.5</v>
      </c>
      <c r="AG8" s="63">
        <f t="shared" si="3"/>
        <v>1</v>
      </c>
      <c r="AH8" s="59">
        <f t="shared" si="4"/>
        <v>2</v>
      </c>
      <c r="AI8" s="69">
        <f t="shared" si="5"/>
        <v>0</v>
      </c>
    </row>
    <row r="9" spans="1:42" s="11" customFormat="1" ht="27" customHeight="1" x14ac:dyDescent="0.2">
      <c r="A9" s="7" t="s">
        <v>11</v>
      </c>
      <c r="B9" s="7" t="s">
        <v>197</v>
      </c>
      <c r="C9" s="8" t="s">
        <v>620</v>
      </c>
      <c r="D9" s="24"/>
      <c r="E9" s="25"/>
      <c r="F9" s="25">
        <v>1</v>
      </c>
      <c r="G9" s="25"/>
      <c r="H9" s="25"/>
      <c r="I9" s="26">
        <f t="shared" si="0"/>
        <v>1</v>
      </c>
      <c r="J9" s="7" t="s">
        <v>11</v>
      </c>
      <c r="K9" s="7" t="s">
        <v>197</v>
      </c>
      <c r="L9" s="7" t="s">
        <v>854</v>
      </c>
      <c r="M9" s="24"/>
      <c r="N9" s="25"/>
      <c r="O9" s="25">
        <v>2</v>
      </c>
      <c r="P9" s="25"/>
      <c r="Q9" s="25"/>
      <c r="R9" s="31">
        <f t="shared" si="1"/>
        <v>2</v>
      </c>
      <c r="S9" s="7" t="s">
        <v>11</v>
      </c>
      <c r="T9" s="7" t="s">
        <v>197</v>
      </c>
      <c r="U9" s="7" t="s">
        <v>436</v>
      </c>
      <c r="V9" s="24"/>
      <c r="W9" s="25"/>
      <c r="X9" s="25"/>
      <c r="Y9" s="25"/>
      <c r="Z9" s="25"/>
      <c r="AA9" s="49">
        <f t="shared" si="2"/>
        <v>0</v>
      </c>
      <c r="AG9" s="63">
        <f t="shared" si="3"/>
        <v>1</v>
      </c>
      <c r="AH9" s="59">
        <f t="shared" si="4"/>
        <v>2</v>
      </c>
      <c r="AI9" s="69">
        <f t="shared" si="5"/>
        <v>0</v>
      </c>
    </row>
    <row r="10" spans="1:42" s="11" customFormat="1" ht="27" customHeight="1" x14ac:dyDescent="0.2">
      <c r="A10" s="7" t="s">
        <v>12</v>
      </c>
      <c r="B10" s="7" t="s">
        <v>198</v>
      </c>
      <c r="C10" s="8" t="s">
        <v>621</v>
      </c>
      <c r="D10" s="24"/>
      <c r="E10" s="25"/>
      <c r="F10" s="25">
        <v>1</v>
      </c>
      <c r="G10" s="25"/>
      <c r="H10" s="25">
        <v>1</v>
      </c>
      <c r="I10" s="26">
        <f t="shared" si="0"/>
        <v>1.5</v>
      </c>
      <c r="J10" s="7" t="s">
        <v>12</v>
      </c>
      <c r="K10" s="7" t="s">
        <v>198</v>
      </c>
      <c r="L10" s="7" t="s">
        <v>855</v>
      </c>
      <c r="M10" s="24"/>
      <c r="N10" s="25"/>
      <c r="O10" s="25">
        <v>1</v>
      </c>
      <c r="P10" s="25"/>
      <c r="Q10" s="25"/>
      <c r="R10" s="31">
        <f t="shared" si="1"/>
        <v>1</v>
      </c>
      <c r="S10" s="7" t="s">
        <v>12</v>
      </c>
      <c r="T10" s="7" t="s">
        <v>198</v>
      </c>
      <c r="U10" s="7" t="s">
        <v>437</v>
      </c>
      <c r="V10" s="24"/>
      <c r="W10" s="25"/>
      <c r="X10" s="25">
        <v>1</v>
      </c>
      <c r="Y10" s="25"/>
      <c r="Z10" s="25"/>
      <c r="AA10" s="49">
        <f t="shared" si="2"/>
        <v>1</v>
      </c>
      <c r="AG10" s="63">
        <f t="shared" si="3"/>
        <v>1</v>
      </c>
      <c r="AH10" s="59">
        <f t="shared" si="4"/>
        <v>1</v>
      </c>
      <c r="AI10" s="69">
        <f t="shared" si="5"/>
        <v>1</v>
      </c>
    </row>
    <row r="11" spans="1:42" s="11" customFormat="1" ht="27" customHeight="1" x14ac:dyDescent="0.2">
      <c r="A11" s="7" t="s">
        <v>13</v>
      </c>
      <c r="B11" s="7" t="s">
        <v>199</v>
      </c>
      <c r="C11" s="8" t="s">
        <v>622</v>
      </c>
      <c r="D11" s="24"/>
      <c r="E11" s="25"/>
      <c r="F11" s="25">
        <v>1</v>
      </c>
      <c r="G11" s="25"/>
      <c r="H11" s="25"/>
      <c r="I11" s="26">
        <f t="shared" si="0"/>
        <v>1</v>
      </c>
      <c r="J11" s="7" t="s">
        <v>13</v>
      </c>
      <c r="K11" s="7" t="s">
        <v>199</v>
      </c>
      <c r="L11" s="7" t="s">
        <v>199</v>
      </c>
      <c r="M11" s="24"/>
      <c r="N11" s="25"/>
      <c r="O11" s="25"/>
      <c r="P11" s="25"/>
      <c r="Q11" s="25"/>
      <c r="R11" s="31">
        <f t="shared" si="1"/>
        <v>0</v>
      </c>
      <c r="S11" s="7" t="s">
        <v>13</v>
      </c>
      <c r="T11" s="7" t="s">
        <v>199</v>
      </c>
      <c r="U11" s="7" t="s">
        <v>438</v>
      </c>
      <c r="V11" s="24"/>
      <c r="W11" s="25">
        <v>2</v>
      </c>
      <c r="X11" s="25"/>
      <c r="Y11" s="25"/>
      <c r="Z11" s="25"/>
      <c r="AA11" s="49">
        <f t="shared" si="2"/>
        <v>2</v>
      </c>
      <c r="AG11" s="63">
        <f t="shared" si="3"/>
        <v>1</v>
      </c>
      <c r="AH11" s="59">
        <f t="shared" si="4"/>
        <v>0</v>
      </c>
      <c r="AI11" s="69">
        <f t="shared" si="5"/>
        <v>2</v>
      </c>
    </row>
    <row r="12" spans="1:42" s="11" customFormat="1" ht="27" customHeight="1" x14ac:dyDescent="0.2">
      <c r="A12" s="7" t="s">
        <v>14</v>
      </c>
      <c r="B12" s="7" t="s">
        <v>200</v>
      </c>
      <c r="C12" s="8" t="s">
        <v>623</v>
      </c>
      <c r="D12" s="24"/>
      <c r="E12" s="25"/>
      <c r="F12" s="25"/>
      <c r="G12" s="25">
        <v>2</v>
      </c>
      <c r="H12" s="25"/>
      <c r="I12" s="26">
        <f t="shared" si="0"/>
        <v>2</v>
      </c>
      <c r="J12" s="7" t="s">
        <v>14</v>
      </c>
      <c r="K12" s="7" t="s">
        <v>200</v>
      </c>
      <c r="L12" s="7" t="s">
        <v>856</v>
      </c>
      <c r="M12" s="24"/>
      <c r="N12" s="25"/>
      <c r="O12" s="25"/>
      <c r="P12" s="25"/>
      <c r="Q12" s="25"/>
      <c r="R12" s="31">
        <f t="shared" si="1"/>
        <v>0</v>
      </c>
      <c r="S12" s="7" t="s">
        <v>14</v>
      </c>
      <c r="T12" s="7" t="s">
        <v>200</v>
      </c>
      <c r="U12" s="7" t="s">
        <v>439</v>
      </c>
      <c r="V12" s="24"/>
      <c r="W12" s="25"/>
      <c r="X12" s="25">
        <v>2</v>
      </c>
      <c r="Y12" s="25"/>
      <c r="Z12" s="25"/>
      <c r="AA12" s="49">
        <f t="shared" si="2"/>
        <v>2</v>
      </c>
      <c r="AG12" s="63">
        <f t="shared" si="3"/>
        <v>2</v>
      </c>
      <c r="AH12" s="59">
        <f t="shared" si="4"/>
        <v>0</v>
      </c>
      <c r="AI12" s="69">
        <f t="shared" si="5"/>
        <v>2</v>
      </c>
    </row>
    <row r="13" spans="1:42" s="11" customFormat="1" ht="27" customHeight="1" x14ac:dyDescent="0.2">
      <c r="A13" s="7" t="s">
        <v>15</v>
      </c>
      <c r="B13" s="7" t="s">
        <v>201</v>
      </c>
      <c r="C13" s="8" t="s">
        <v>624</v>
      </c>
      <c r="D13" s="24"/>
      <c r="E13" s="25">
        <v>2</v>
      </c>
      <c r="F13" s="25"/>
      <c r="G13" s="25">
        <v>2</v>
      </c>
      <c r="H13" s="25"/>
      <c r="I13" s="26">
        <f t="shared" si="0"/>
        <v>4</v>
      </c>
      <c r="J13" s="7" t="s">
        <v>15</v>
      </c>
      <c r="K13" s="7" t="s">
        <v>201</v>
      </c>
      <c r="L13" s="7" t="s">
        <v>857</v>
      </c>
      <c r="M13" s="24"/>
      <c r="N13" s="25"/>
      <c r="O13" s="25"/>
      <c r="P13" s="25"/>
      <c r="Q13" s="25">
        <v>2</v>
      </c>
      <c r="R13" s="31">
        <f t="shared" si="1"/>
        <v>1</v>
      </c>
      <c r="S13" s="7" t="s">
        <v>15</v>
      </c>
      <c r="T13" s="7" t="s">
        <v>201</v>
      </c>
      <c r="U13" s="7" t="s">
        <v>440</v>
      </c>
      <c r="V13" s="24">
        <v>2</v>
      </c>
      <c r="W13" s="25"/>
      <c r="X13" s="25"/>
      <c r="Y13" s="25">
        <v>2</v>
      </c>
      <c r="Z13" s="25"/>
      <c r="AA13" s="49">
        <f t="shared" si="2"/>
        <v>4</v>
      </c>
      <c r="AG13" s="63">
        <f t="shared" si="3"/>
        <v>4</v>
      </c>
      <c r="AH13" s="59">
        <f t="shared" si="4"/>
        <v>0</v>
      </c>
      <c r="AI13" s="69">
        <f t="shared" si="5"/>
        <v>2</v>
      </c>
    </row>
    <row r="14" spans="1:42" s="12" customFormat="1" ht="27" customHeight="1" x14ac:dyDescent="0.2">
      <c r="A14" s="7" t="s">
        <v>780</v>
      </c>
      <c r="B14" s="7" t="s">
        <v>781</v>
      </c>
      <c r="C14" s="9" t="s">
        <v>818</v>
      </c>
      <c r="D14" s="27"/>
      <c r="E14" s="25"/>
      <c r="F14" s="25">
        <v>2</v>
      </c>
      <c r="G14" s="25"/>
      <c r="H14" s="25"/>
      <c r="I14" s="26">
        <f t="shared" si="0"/>
        <v>2</v>
      </c>
      <c r="J14" s="7" t="s">
        <v>780</v>
      </c>
      <c r="K14" s="7" t="s">
        <v>781</v>
      </c>
      <c r="L14" s="7" t="s">
        <v>858</v>
      </c>
      <c r="M14" s="27"/>
      <c r="N14" s="25"/>
      <c r="O14" s="25">
        <v>2</v>
      </c>
      <c r="P14" s="25"/>
      <c r="Q14" s="25"/>
      <c r="R14" s="31">
        <f t="shared" si="1"/>
        <v>2</v>
      </c>
      <c r="S14" s="7" t="s">
        <v>780</v>
      </c>
      <c r="T14" s="7" t="s">
        <v>781</v>
      </c>
      <c r="U14" s="7" t="s">
        <v>831</v>
      </c>
      <c r="V14" s="27"/>
      <c r="W14" s="25"/>
      <c r="X14" s="25"/>
      <c r="Y14" s="25">
        <v>2</v>
      </c>
      <c r="Z14" s="25"/>
      <c r="AA14" s="49">
        <f t="shared" si="2"/>
        <v>2</v>
      </c>
      <c r="AB14" s="11"/>
      <c r="AC14" s="11"/>
      <c r="AD14" s="11"/>
      <c r="AE14" s="11"/>
      <c r="AF14" s="11"/>
      <c r="AG14" s="63">
        <f t="shared" si="3"/>
        <v>2</v>
      </c>
      <c r="AH14" s="59">
        <f t="shared" si="4"/>
        <v>2</v>
      </c>
      <c r="AI14" s="69">
        <f t="shared" si="5"/>
        <v>2</v>
      </c>
      <c r="AJ14" s="11"/>
      <c r="AK14" s="11"/>
      <c r="AL14" s="11"/>
      <c r="AM14" s="11"/>
      <c r="AN14" s="11"/>
      <c r="AO14" s="11"/>
      <c r="AP14" s="11"/>
    </row>
    <row r="15" spans="1:42" s="11" customFormat="1" ht="27" customHeight="1" x14ac:dyDescent="0.2">
      <c r="A15" s="7" t="s">
        <v>16</v>
      </c>
      <c r="B15" s="7" t="s">
        <v>202</v>
      </c>
      <c r="C15" s="8" t="s">
        <v>1005</v>
      </c>
      <c r="D15" s="24"/>
      <c r="E15" s="25"/>
      <c r="F15" s="25"/>
      <c r="G15" s="25"/>
      <c r="H15" s="25"/>
      <c r="I15" s="26">
        <f t="shared" si="0"/>
        <v>0</v>
      </c>
      <c r="J15" s="7" t="s">
        <v>16</v>
      </c>
      <c r="K15" s="7" t="s">
        <v>202</v>
      </c>
      <c r="L15" s="7" t="s">
        <v>379</v>
      </c>
      <c r="M15" s="24">
        <v>2</v>
      </c>
      <c r="N15" s="25"/>
      <c r="O15" s="25">
        <v>2</v>
      </c>
      <c r="P15" s="25"/>
      <c r="Q15" s="25"/>
      <c r="R15" s="31">
        <f t="shared" si="1"/>
        <v>4</v>
      </c>
      <c r="S15" s="7" t="s">
        <v>16</v>
      </c>
      <c r="T15" s="7" t="s">
        <v>202</v>
      </c>
      <c r="U15" s="7" t="s">
        <v>441</v>
      </c>
      <c r="V15" s="24"/>
      <c r="W15" s="25"/>
      <c r="X15" s="25"/>
      <c r="Y15" s="25"/>
      <c r="Z15" s="25">
        <v>1</v>
      </c>
      <c r="AA15" s="49">
        <f t="shared" si="2"/>
        <v>0.5</v>
      </c>
      <c r="AG15" s="63">
        <f t="shared" si="3"/>
        <v>0</v>
      </c>
      <c r="AH15" s="59">
        <f t="shared" si="4"/>
        <v>2</v>
      </c>
      <c r="AI15" s="69">
        <f t="shared" si="5"/>
        <v>0</v>
      </c>
    </row>
    <row r="16" spans="1:42" s="11" customFormat="1" ht="27" customHeight="1" x14ac:dyDescent="0.2">
      <c r="A16" s="7" t="s">
        <v>17</v>
      </c>
      <c r="B16" s="7" t="s">
        <v>203</v>
      </c>
      <c r="C16" s="8" t="s">
        <v>1004</v>
      </c>
      <c r="D16" s="24"/>
      <c r="E16" s="25">
        <v>2</v>
      </c>
      <c r="F16" s="25">
        <v>2</v>
      </c>
      <c r="G16" s="25"/>
      <c r="H16" s="25"/>
      <c r="I16" s="26">
        <f t="shared" si="0"/>
        <v>4</v>
      </c>
      <c r="J16" s="7" t="s">
        <v>17</v>
      </c>
      <c r="K16" s="7" t="s">
        <v>203</v>
      </c>
      <c r="L16" s="7" t="s">
        <v>859</v>
      </c>
      <c r="M16" s="24"/>
      <c r="N16" s="25"/>
      <c r="O16" s="25">
        <v>2</v>
      </c>
      <c r="P16" s="25"/>
      <c r="Q16" s="25"/>
      <c r="R16" s="31">
        <f t="shared" si="1"/>
        <v>2</v>
      </c>
      <c r="S16" s="7" t="s">
        <v>17</v>
      </c>
      <c r="T16" s="7" t="s">
        <v>203</v>
      </c>
      <c r="U16" s="7" t="s">
        <v>442</v>
      </c>
      <c r="V16" s="24"/>
      <c r="W16" s="25">
        <v>1</v>
      </c>
      <c r="X16" s="25"/>
      <c r="Y16" s="25"/>
      <c r="Z16" s="25"/>
      <c r="AA16" s="49">
        <f t="shared" si="2"/>
        <v>1</v>
      </c>
      <c r="AG16" s="63">
        <f>SUM(E16:G16)</f>
        <v>4</v>
      </c>
      <c r="AH16" s="59">
        <f t="shared" si="4"/>
        <v>2</v>
      </c>
      <c r="AI16" s="69">
        <f t="shared" si="5"/>
        <v>1</v>
      </c>
    </row>
    <row r="17" spans="1:42" s="12" customFormat="1" ht="27" customHeight="1" x14ac:dyDescent="0.2">
      <c r="A17" s="7" t="s">
        <v>782</v>
      </c>
      <c r="B17" s="7" t="s">
        <v>783</v>
      </c>
      <c r="C17" s="9" t="s">
        <v>819</v>
      </c>
      <c r="D17" s="27"/>
      <c r="E17" s="25"/>
      <c r="F17" s="25">
        <v>1</v>
      </c>
      <c r="G17" s="25"/>
      <c r="H17" s="25"/>
      <c r="I17" s="26">
        <f t="shared" si="0"/>
        <v>1</v>
      </c>
      <c r="J17" s="7" t="s">
        <v>782</v>
      </c>
      <c r="K17" s="7" t="s">
        <v>783</v>
      </c>
      <c r="L17" s="7" t="s">
        <v>860</v>
      </c>
      <c r="M17" s="27"/>
      <c r="N17" s="25"/>
      <c r="O17" s="25"/>
      <c r="P17" s="25"/>
      <c r="Q17" s="25"/>
      <c r="R17" s="31">
        <f t="shared" si="1"/>
        <v>0</v>
      </c>
      <c r="S17" s="7" t="s">
        <v>782</v>
      </c>
      <c r="T17" s="7" t="s">
        <v>783</v>
      </c>
      <c r="U17" s="7" t="s">
        <v>832</v>
      </c>
      <c r="V17" s="27">
        <v>2</v>
      </c>
      <c r="W17" s="25"/>
      <c r="X17" s="25">
        <v>2</v>
      </c>
      <c r="Y17" s="25"/>
      <c r="Z17" s="25"/>
      <c r="AA17" s="49">
        <f t="shared" si="2"/>
        <v>4</v>
      </c>
      <c r="AB17" s="11"/>
      <c r="AC17" s="11"/>
      <c r="AD17" s="11"/>
      <c r="AE17" s="11"/>
      <c r="AF17" s="11"/>
      <c r="AG17" s="63">
        <f t="shared" si="3"/>
        <v>1</v>
      </c>
      <c r="AH17" s="59">
        <f t="shared" si="4"/>
        <v>0</v>
      </c>
      <c r="AI17" s="69">
        <f t="shared" si="5"/>
        <v>2</v>
      </c>
      <c r="AJ17" s="11"/>
      <c r="AK17" s="11"/>
      <c r="AL17" s="11"/>
      <c r="AM17" s="11"/>
      <c r="AN17" s="11"/>
      <c r="AO17" s="11"/>
      <c r="AP17" s="11"/>
    </row>
    <row r="18" spans="1:42" s="11" customFormat="1" ht="27" customHeight="1" x14ac:dyDescent="0.2">
      <c r="A18" s="7" t="s">
        <v>18</v>
      </c>
      <c r="B18" s="7" t="s">
        <v>204</v>
      </c>
      <c r="C18" s="8" t="s">
        <v>1006</v>
      </c>
      <c r="D18" s="24"/>
      <c r="E18" s="25"/>
      <c r="F18" s="25">
        <v>2</v>
      </c>
      <c r="G18" s="25"/>
      <c r="H18" s="25"/>
      <c r="I18" s="26">
        <f t="shared" si="0"/>
        <v>2</v>
      </c>
      <c r="J18" s="7" t="s">
        <v>18</v>
      </c>
      <c r="K18" s="7" t="s">
        <v>204</v>
      </c>
      <c r="L18" s="7" t="s">
        <v>861</v>
      </c>
      <c r="M18" s="24"/>
      <c r="N18" s="25"/>
      <c r="O18" s="25"/>
      <c r="P18" s="25"/>
      <c r="Q18" s="25"/>
      <c r="R18" s="31">
        <f t="shared" si="1"/>
        <v>0</v>
      </c>
      <c r="S18" s="7" t="s">
        <v>18</v>
      </c>
      <c r="T18" s="7" t="s">
        <v>204</v>
      </c>
      <c r="U18" s="7" t="s">
        <v>443</v>
      </c>
      <c r="V18" s="24"/>
      <c r="W18" s="25"/>
      <c r="X18" s="25">
        <v>2</v>
      </c>
      <c r="Y18" s="25"/>
      <c r="Z18" s="25"/>
      <c r="AA18" s="49">
        <f t="shared" si="2"/>
        <v>2</v>
      </c>
      <c r="AG18" s="63">
        <f t="shared" si="3"/>
        <v>2</v>
      </c>
      <c r="AH18" s="59">
        <f t="shared" si="4"/>
        <v>0</v>
      </c>
      <c r="AI18" s="69">
        <f t="shared" si="5"/>
        <v>2</v>
      </c>
    </row>
    <row r="19" spans="1:42" s="11" customFormat="1" ht="27" customHeight="1" x14ac:dyDescent="0.2">
      <c r="A19" s="7" t="s">
        <v>19</v>
      </c>
      <c r="B19" s="7" t="s">
        <v>205</v>
      </c>
      <c r="C19" s="8" t="s">
        <v>625</v>
      </c>
      <c r="D19" s="24"/>
      <c r="E19" s="25"/>
      <c r="F19" s="25"/>
      <c r="G19" s="25"/>
      <c r="H19" s="25">
        <v>1</v>
      </c>
      <c r="I19" s="26">
        <f t="shared" si="0"/>
        <v>0.5</v>
      </c>
      <c r="J19" s="7" t="s">
        <v>19</v>
      </c>
      <c r="K19" s="7" t="s">
        <v>205</v>
      </c>
      <c r="L19" s="7" t="s">
        <v>862</v>
      </c>
      <c r="M19" s="24"/>
      <c r="N19" s="25"/>
      <c r="O19" s="25"/>
      <c r="P19" s="25">
        <v>2</v>
      </c>
      <c r="Q19" s="25"/>
      <c r="R19" s="31">
        <f t="shared" si="1"/>
        <v>2</v>
      </c>
      <c r="S19" s="7" t="s">
        <v>19</v>
      </c>
      <c r="T19" s="7" t="s">
        <v>205</v>
      </c>
      <c r="U19" s="7" t="s">
        <v>444</v>
      </c>
      <c r="V19" s="24"/>
      <c r="W19" s="25"/>
      <c r="X19" s="25"/>
      <c r="Y19" s="25"/>
      <c r="Z19" s="25"/>
      <c r="AA19" s="49">
        <f t="shared" si="2"/>
        <v>0</v>
      </c>
      <c r="AG19" s="63">
        <f t="shared" si="3"/>
        <v>0</v>
      </c>
      <c r="AH19" s="59">
        <f t="shared" si="4"/>
        <v>2</v>
      </c>
      <c r="AI19" s="69">
        <f t="shared" si="5"/>
        <v>0</v>
      </c>
    </row>
    <row r="20" spans="1:42" s="11" customFormat="1" ht="27" customHeight="1" x14ac:dyDescent="0.2">
      <c r="A20" s="7" t="s">
        <v>20</v>
      </c>
      <c r="B20" s="7" t="s">
        <v>206</v>
      </c>
      <c r="C20" s="9" t="s">
        <v>626</v>
      </c>
      <c r="D20" s="27"/>
      <c r="E20" s="25"/>
      <c r="F20" s="25"/>
      <c r="G20" s="25"/>
      <c r="H20" s="25">
        <v>1</v>
      </c>
      <c r="I20" s="26">
        <f t="shared" si="0"/>
        <v>0.5</v>
      </c>
      <c r="J20" s="7" t="s">
        <v>20</v>
      </c>
      <c r="K20" s="7" t="s">
        <v>206</v>
      </c>
      <c r="L20" s="7" t="s">
        <v>863</v>
      </c>
      <c r="M20" s="27"/>
      <c r="N20" s="25"/>
      <c r="O20" s="25"/>
      <c r="P20" s="25"/>
      <c r="Q20" s="25">
        <v>1</v>
      </c>
      <c r="R20" s="31">
        <f t="shared" si="1"/>
        <v>0.5</v>
      </c>
      <c r="S20" s="7" t="s">
        <v>20</v>
      </c>
      <c r="T20" s="7" t="s">
        <v>206</v>
      </c>
      <c r="U20" s="7" t="s">
        <v>445</v>
      </c>
      <c r="V20" s="27"/>
      <c r="W20" s="25"/>
      <c r="X20" s="25">
        <v>2</v>
      </c>
      <c r="Y20" s="25"/>
      <c r="Z20" s="25"/>
      <c r="AA20" s="49">
        <f t="shared" si="2"/>
        <v>2</v>
      </c>
      <c r="AG20" s="63">
        <f t="shared" si="3"/>
        <v>0</v>
      </c>
      <c r="AH20" s="59">
        <f t="shared" si="4"/>
        <v>0</v>
      </c>
      <c r="AI20" s="69">
        <f t="shared" si="5"/>
        <v>2</v>
      </c>
    </row>
    <row r="21" spans="1:42" s="11" customFormat="1" ht="27" customHeight="1" x14ac:dyDescent="0.2">
      <c r="A21" s="7" t="s">
        <v>21</v>
      </c>
      <c r="B21" s="7" t="s">
        <v>207</v>
      </c>
      <c r="C21" s="8" t="s">
        <v>627</v>
      </c>
      <c r="D21" s="24"/>
      <c r="E21" s="25"/>
      <c r="F21" s="25"/>
      <c r="G21" s="25"/>
      <c r="H21" s="25">
        <v>2</v>
      </c>
      <c r="I21" s="26">
        <f t="shared" si="0"/>
        <v>1</v>
      </c>
      <c r="J21" s="7" t="s">
        <v>21</v>
      </c>
      <c r="K21" s="7" t="s">
        <v>207</v>
      </c>
      <c r="L21" s="7" t="s">
        <v>864</v>
      </c>
      <c r="M21" s="24"/>
      <c r="N21" s="25"/>
      <c r="O21" s="25"/>
      <c r="P21" s="25"/>
      <c r="Q21" s="25">
        <v>2</v>
      </c>
      <c r="R21" s="31">
        <f t="shared" si="1"/>
        <v>1</v>
      </c>
      <c r="S21" s="7" t="s">
        <v>21</v>
      </c>
      <c r="T21" s="7" t="s">
        <v>207</v>
      </c>
      <c r="U21" s="7" t="s">
        <v>446</v>
      </c>
      <c r="V21" s="24"/>
      <c r="W21" s="25"/>
      <c r="X21" s="25">
        <v>2</v>
      </c>
      <c r="Y21" s="25"/>
      <c r="Z21" s="25"/>
      <c r="AA21" s="49">
        <f t="shared" si="2"/>
        <v>2</v>
      </c>
      <c r="AG21" s="63">
        <f t="shared" si="3"/>
        <v>0</v>
      </c>
      <c r="AH21" s="59">
        <f t="shared" si="4"/>
        <v>0</v>
      </c>
      <c r="AI21" s="69">
        <f t="shared" si="5"/>
        <v>2</v>
      </c>
    </row>
    <row r="22" spans="1:42" s="11" customFormat="1" ht="27" customHeight="1" x14ac:dyDescent="0.2">
      <c r="A22" s="7" t="s">
        <v>22</v>
      </c>
      <c r="B22" s="7" t="s">
        <v>208</v>
      </c>
      <c r="C22" s="8" t="s">
        <v>628</v>
      </c>
      <c r="D22" s="24"/>
      <c r="E22" s="25"/>
      <c r="F22" s="25"/>
      <c r="G22" s="25"/>
      <c r="H22" s="25">
        <v>2</v>
      </c>
      <c r="I22" s="26">
        <f t="shared" si="0"/>
        <v>1</v>
      </c>
      <c r="J22" s="7" t="s">
        <v>22</v>
      </c>
      <c r="K22" s="7" t="s">
        <v>208</v>
      </c>
      <c r="L22" s="7" t="s">
        <v>865</v>
      </c>
      <c r="M22" s="24"/>
      <c r="N22" s="25"/>
      <c r="O22" s="25">
        <v>2</v>
      </c>
      <c r="P22" s="25"/>
      <c r="Q22" s="25"/>
      <c r="R22" s="31">
        <f t="shared" si="1"/>
        <v>2</v>
      </c>
      <c r="S22" s="7" t="s">
        <v>22</v>
      </c>
      <c r="T22" s="7" t="s">
        <v>208</v>
      </c>
      <c r="U22" s="7" t="s">
        <v>447</v>
      </c>
      <c r="V22" s="24"/>
      <c r="W22" s="25"/>
      <c r="X22" s="25">
        <v>2</v>
      </c>
      <c r="Y22" s="25"/>
      <c r="Z22" s="25"/>
      <c r="AA22" s="49">
        <f t="shared" si="2"/>
        <v>2</v>
      </c>
      <c r="AG22" s="63">
        <f t="shared" si="3"/>
        <v>0</v>
      </c>
      <c r="AH22" s="59">
        <f t="shared" si="4"/>
        <v>2</v>
      </c>
      <c r="AI22" s="69">
        <f t="shared" si="5"/>
        <v>2</v>
      </c>
    </row>
    <row r="23" spans="1:42" s="11" customFormat="1" ht="27" customHeight="1" x14ac:dyDescent="0.2">
      <c r="A23" s="7" t="s">
        <v>23</v>
      </c>
      <c r="B23" s="7" t="s">
        <v>209</v>
      </c>
      <c r="C23" s="9" t="s">
        <v>629</v>
      </c>
      <c r="D23" s="27"/>
      <c r="E23" s="25"/>
      <c r="F23" s="25"/>
      <c r="G23" s="25">
        <v>2</v>
      </c>
      <c r="H23" s="25"/>
      <c r="I23" s="26">
        <f t="shared" si="0"/>
        <v>2</v>
      </c>
      <c r="J23" s="7" t="s">
        <v>23</v>
      </c>
      <c r="K23" s="7" t="s">
        <v>209</v>
      </c>
      <c r="L23" s="7" t="s">
        <v>866</v>
      </c>
      <c r="M23" s="27"/>
      <c r="N23" s="25"/>
      <c r="O23" s="25">
        <v>2</v>
      </c>
      <c r="P23" s="25"/>
      <c r="Q23" s="25"/>
      <c r="R23" s="31">
        <f t="shared" si="1"/>
        <v>2</v>
      </c>
      <c r="S23" s="7" t="s">
        <v>23</v>
      </c>
      <c r="T23" s="7" t="s">
        <v>209</v>
      </c>
      <c r="U23" s="7" t="s">
        <v>448</v>
      </c>
      <c r="V23" s="27"/>
      <c r="W23" s="25"/>
      <c r="X23" s="25"/>
      <c r="Y23" s="25"/>
      <c r="Z23" s="25">
        <v>2</v>
      </c>
      <c r="AA23" s="49">
        <f t="shared" si="2"/>
        <v>1</v>
      </c>
      <c r="AG23" s="63">
        <f t="shared" si="3"/>
        <v>2</v>
      </c>
      <c r="AH23" s="59">
        <f t="shared" si="4"/>
        <v>2</v>
      </c>
      <c r="AI23" s="69">
        <f t="shared" si="5"/>
        <v>0</v>
      </c>
    </row>
    <row r="24" spans="1:42" s="11" customFormat="1" ht="27" customHeight="1" x14ac:dyDescent="0.2">
      <c r="A24" s="7" t="s">
        <v>24</v>
      </c>
      <c r="B24" s="7" t="s">
        <v>210</v>
      </c>
      <c r="C24" s="8" t="s">
        <v>630</v>
      </c>
      <c r="D24" s="24"/>
      <c r="E24" s="25"/>
      <c r="F24" s="25"/>
      <c r="G24" s="25"/>
      <c r="H24" s="25"/>
      <c r="I24" s="26">
        <f t="shared" si="0"/>
        <v>0</v>
      </c>
      <c r="J24" s="7" t="s">
        <v>24</v>
      </c>
      <c r="K24" s="7" t="s">
        <v>210</v>
      </c>
      <c r="L24" s="7" t="s">
        <v>867</v>
      </c>
      <c r="M24" s="24"/>
      <c r="N24" s="25"/>
      <c r="O24" s="25">
        <v>2</v>
      </c>
      <c r="P24" s="25"/>
      <c r="Q24" s="25"/>
      <c r="R24" s="31">
        <f t="shared" si="1"/>
        <v>2</v>
      </c>
      <c r="S24" s="7" t="s">
        <v>24</v>
      </c>
      <c r="T24" s="7" t="s">
        <v>210</v>
      </c>
      <c r="U24" s="7" t="s">
        <v>449</v>
      </c>
      <c r="V24" s="24"/>
      <c r="W24" s="25"/>
      <c r="X24" s="25">
        <v>2</v>
      </c>
      <c r="Y24" s="25"/>
      <c r="Z24" s="25"/>
      <c r="AA24" s="49">
        <f t="shared" si="2"/>
        <v>2</v>
      </c>
      <c r="AG24" s="63">
        <f t="shared" si="3"/>
        <v>0</v>
      </c>
      <c r="AH24" s="59">
        <f t="shared" si="4"/>
        <v>2</v>
      </c>
      <c r="AI24" s="69">
        <f t="shared" si="5"/>
        <v>2</v>
      </c>
    </row>
    <row r="25" spans="1:42" s="11" customFormat="1" ht="27" customHeight="1" x14ac:dyDescent="0.2">
      <c r="A25" s="7" t="s">
        <v>25</v>
      </c>
      <c r="B25" s="7" t="s">
        <v>211</v>
      </c>
      <c r="C25" s="8" t="s">
        <v>631</v>
      </c>
      <c r="D25" s="24"/>
      <c r="E25" s="25"/>
      <c r="F25" s="25">
        <v>2</v>
      </c>
      <c r="G25" s="25"/>
      <c r="H25" s="25"/>
      <c r="I25" s="26">
        <f t="shared" si="0"/>
        <v>2</v>
      </c>
      <c r="J25" s="7" t="s">
        <v>25</v>
      </c>
      <c r="K25" s="7" t="s">
        <v>211</v>
      </c>
      <c r="L25" s="7" t="s">
        <v>868</v>
      </c>
      <c r="M25" s="24">
        <v>2</v>
      </c>
      <c r="N25" s="25"/>
      <c r="O25" s="25"/>
      <c r="P25" s="25">
        <v>2</v>
      </c>
      <c r="Q25" s="25"/>
      <c r="R25" s="31">
        <f t="shared" si="1"/>
        <v>4</v>
      </c>
      <c r="S25" s="7" t="s">
        <v>25</v>
      </c>
      <c r="T25" s="7" t="s">
        <v>211</v>
      </c>
      <c r="U25" s="7" t="s">
        <v>450</v>
      </c>
      <c r="V25" s="24">
        <v>2</v>
      </c>
      <c r="W25" s="25"/>
      <c r="X25" s="25"/>
      <c r="Y25" s="25">
        <v>2</v>
      </c>
      <c r="Z25" s="25"/>
      <c r="AA25" s="49">
        <f t="shared" si="2"/>
        <v>4</v>
      </c>
      <c r="AG25" s="63">
        <f t="shared" si="3"/>
        <v>2</v>
      </c>
      <c r="AH25" s="59">
        <f t="shared" si="4"/>
        <v>2</v>
      </c>
      <c r="AI25" s="69">
        <f t="shared" si="5"/>
        <v>2</v>
      </c>
    </row>
    <row r="26" spans="1:42" s="11" customFormat="1" ht="27" customHeight="1" x14ac:dyDescent="0.2">
      <c r="A26" s="7" t="s">
        <v>26</v>
      </c>
      <c r="B26" s="7" t="s">
        <v>212</v>
      </c>
      <c r="C26" s="8" t="s">
        <v>632</v>
      </c>
      <c r="D26" s="24"/>
      <c r="E26" s="25"/>
      <c r="F26" s="25"/>
      <c r="G26" s="25"/>
      <c r="H26" s="25">
        <v>1</v>
      </c>
      <c r="I26" s="26">
        <f t="shared" si="0"/>
        <v>0.5</v>
      </c>
      <c r="J26" s="7" t="s">
        <v>26</v>
      </c>
      <c r="K26" s="7" t="s">
        <v>212</v>
      </c>
      <c r="L26" s="7" t="s">
        <v>869</v>
      </c>
      <c r="M26" s="24"/>
      <c r="N26" s="25"/>
      <c r="O26" s="25"/>
      <c r="P26" s="25"/>
      <c r="Q26" s="25">
        <v>1</v>
      </c>
      <c r="R26" s="31">
        <f t="shared" si="1"/>
        <v>0.5</v>
      </c>
      <c r="S26" s="7" t="s">
        <v>26</v>
      </c>
      <c r="T26" s="7" t="s">
        <v>212</v>
      </c>
      <c r="U26" s="7" t="s">
        <v>451</v>
      </c>
      <c r="V26" s="24">
        <v>1</v>
      </c>
      <c r="W26" s="25"/>
      <c r="X26" s="25"/>
      <c r="Y26" s="25"/>
      <c r="Z26" s="25">
        <v>1</v>
      </c>
      <c r="AA26" s="49">
        <f t="shared" si="2"/>
        <v>1.5</v>
      </c>
      <c r="AG26" s="63">
        <f t="shared" si="3"/>
        <v>0</v>
      </c>
      <c r="AH26" s="59">
        <f t="shared" si="4"/>
        <v>0</v>
      </c>
      <c r="AI26" s="69">
        <f t="shared" si="5"/>
        <v>0</v>
      </c>
    </row>
    <row r="27" spans="1:42" s="11" customFormat="1" ht="27" customHeight="1" x14ac:dyDescent="0.2">
      <c r="A27" s="7" t="s">
        <v>27</v>
      </c>
      <c r="B27" s="7" t="s">
        <v>213</v>
      </c>
      <c r="C27" s="8" t="s">
        <v>633</v>
      </c>
      <c r="D27" s="24"/>
      <c r="E27" s="25">
        <v>2</v>
      </c>
      <c r="F27" s="25"/>
      <c r="G27" s="25">
        <v>2</v>
      </c>
      <c r="H27" s="25"/>
      <c r="I27" s="26">
        <f t="shared" si="0"/>
        <v>4</v>
      </c>
      <c r="J27" s="7" t="s">
        <v>27</v>
      </c>
      <c r="K27" s="7" t="s">
        <v>213</v>
      </c>
      <c r="L27" s="7" t="s">
        <v>870</v>
      </c>
      <c r="M27" s="24"/>
      <c r="N27" s="25">
        <v>2</v>
      </c>
      <c r="O27" s="25"/>
      <c r="P27" s="25"/>
      <c r="Q27" s="25"/>
      <c r="R27" s="31">
        <f t="shared" si="1"/>
        <v>2</v>
      </c>
      <c r="S27" s="7" t="s">
        <v>27</v>
      </c>
      <c r="T27" s="7" t="s">
        <v>213</v>
      </c>
      <c r="U27" s="7" t="s">
        <v>452</v>
      </c>
      <c r="V27" s="24">
        <v>2</v>
      </c>
      <c r="W27" s="25"/>
      <c r="X27" s="25"/>
      <c r="Y27" s="25"/>
      <c r="Z27" s="25">
        <v>2</v>
      </c>
      <c r="AA27" s="49">
        <f t="shared" si="2"/>
        <v>3</v>
      </c>
      <c r="AG27" s="63">
        <f t="shared" si="3"/>
        <v>4</v>
      </c>
      <c r="AH27" s="59">
        <f t="shared" si="4"/>
        <v>2</v>
      </c>
      <c r="AI27" s="69">
        <f t="shared" si="5"/>
        <v>0</v>
      </c>
    </row>
    <row r="28" spans="1:42" s="11" customFormat="1" ht="27" customHeight="1" x14ac:dyDescent="0.2">
      <c r="A28" s="7" t="s">
        <v>28</v>
      </c>
      <c r="B28" s="7" t="s">
        <v>214</v>
      </c>
      <c r="C28" s="9" t="s">
        <v>634</v>
      </c>
      <c r="D28" s="27"/>
      <c r="E28" s="25"/>
      <c r="F28" s="25"/>
      <c r="G28" s="25"/>
      <c r="H28" s="25"/>
      <c r="I28" s="26">
        <f t="shared" si="0"/>
        <v>0</v>
      </c>
      <c r="J28" s="7" t="s">
        <v>28</v>
      </c>
      <c r="K28" s="7" t="s">
        <v>214</v>
      </c>
      <c r="L28" s="7" t="s">
        <v>380</v>
      </c>
      <c r="M28" s="27"/>
      <c r="N28" s="25"/>
      <c r="O28" s="25"/>
      <c r="P28" s="25"/>
      <c r="Q28" s="25">
        <v>1</v>
      </c>
      <c r="R28" s="31">
        <f t="shared" si="1"/>
        <v>0.5</v>
      </c>
      <c r="S28" s="7" t="s">
        <v>28</v>
      </c>
      <c r="T28" s="7" t="s">
        <v>214</v>
      </c>
      <c r="U28" s="7" t="s">
        <v>453</v>
      </c>
      <c r="V28" s="27"/>
      <c r="W28" s="25"/>
      <c r="X28" s="25"/>
      <c r="Y28" s="25">
        <v>2</v>
      </c>
      <c r="Z28" s="25"/>
      <c r="AA28" s="49">
        <f t="shared" si="2"/>
        <v>2</v>
      </c>
      <c r="AG28" s="63">
        <f t="shared" si="3"/>
        <v>0</v>
      </c>
      <c r="AH28" s="59">
        <f t="shared" si="4"/>
        <v>0</v>
      </c>
      <c r="AI28" s="69">
        <f t="shared" si="5"/>
        <v>2</v>
      </c>
    </row>
    <row r="29" spans="1:42" s="11" customFormat="1" ht="27" customHeight="1" x14ac:dyDescent="0.2">
      <c r="A29" s="7" t="s">
        <v>29</v>
      </c>
      <c r="B29" s="7" t="s">
        <v>215</v>
      </c>
      <c r="C29" s="8" t="s">
        <v>635</v>
      </c>
      <c r="D29" s="24">
        <v>1</v>
      </c>
      <c r="E29" s="25"/>
      <c r="F29" s="25"/>
      <c r="G29" s="25"/>
      <c r="H29" s="25"/>
      <c r="I29" s="26">
        <f t="shared" si="0"/>
        <v>1</v>
      </c>
      <c r="J29" s="7" t="s">
        <v>29</v>
      </c>
      <c r="K29" s="7" t="s">
        <v>215</v>
      </c>
      <c r="L29" s="7" t="s">
        <v>871</v>
      </c>
      <c r="M29" s="24"/>
      <c r="N29" s="25"/>
      <c r="O29" s="25"/>
      <c r="P29" s="25"/>
      <c r="Q29" s="25">
        <v>2</v>
      </c>
      <c r="R29" s="31">
        <f t="shared" si="1"/>
        <v>1</v>
      </c>
      <c r="S29" s="7" t="s">
        <v>29</v>
      </c>
      <c r="T29" s="7" t="s">
        <v>215</v>
      </c>
      <c r="U29" s="7" t="s">
        <v>454</v>
      </c>
      <c r="V29" s="24"/>
      <c r="W29" s="25"/>
      <c r="X29" s="25"/>
      <c r="Y29" s="25">
        <v>2</v>
      </c>
      <c r="Z29" s="25"/>
      <c r="AA29" s="49">
        <f t="shared" si="2"/>
        <v>2</v>
      </c>
      <c r="AG29" s="63">
        <f t="shared" si="3"/>
        <v>0</v>
      </c>
      <c r="AH29" s="59">
        <f t="shared" si="4"/>
        <v>0</v>
      </c>
      <c r="AI29" s="69">
        <f t="shared" si="5"/>
        <v>2</v>
      </c>
    </row>
    <row r="30" spans="1:42" s="12" customFormat="1" ht="27" customHeight="1" x14ac:dyDescent="0.2">
      <c r="A30" s="7" t="s">
        <v>784</v>
      </c>
      <c r="B30" s="7" t="s">
        <v>785</v>
      </c>
      <c r="C30" s="8" t="s">
        <v>1007</v>
      </c>
      <c r="D30" s="24">
        <v>2</v>
      </c>
      <c r="E30" s="25"/>
      <c r="F30" s="25">
        <v>2</v>
      </c>
      <c r="G30" s="25"/>
      <c r="H30" s="25"/>
      <c r="I30" s="26">
        <f t="shared" si="0"/>
        <v>4</v>
      </c>
      <c r="J30" s="7" t="s">
        <v>784</v>
      </c>
      <c r="K30" s="7" t="s">
        <v>785</v>
      </c>
      <c r="L30" s="7" t="s">
        <v>872</v>
      </c>
      <c r="M30" s="24">
        <v>1</v>
      </c>
      <c r="N30" s="25"/>
      <c r="O30" s="25"/>
      <c r="P30" s="25"/>
      <c r="Q30" s="25"/>
      <c r="R30" s="31">
        <f t="shared" si="1"/>
        <v>1</v>
      </c>
      <c r="S30" s="7" t="s">
        <v>784</v>
      </c>
      <c r="T30" s="7" t="s">
        <v>785</v>
      </c>
      <c r="U30" s="7" t="s">
        <v>833</v>
      </c>
      <c r="V30" s="24"/>
      <c r="W30" s="25"/>
      <c r="X30" s="25">
        <v>2</v>
      </c>
      <c r="Y30" s="25"/>
      <c r="Z30" s="25"/>
      <c r="AA30" s="49">
        <f t="shared" si="2"/>
        <v>2</v>
      </c>
      <c r="AB30" s="11"/>
      <c r="AC30" s="11"/>
      <c r="AD30" s="11"/>
      <c r="AE30" s="11"/>
      <c r="AF30" s="11"/>
      <c r="AG30" s="63">
        <f t="shared" si="3"/>
        <v>2</v>
      </c>
      <c r="AH30" s="59">
        <f t="shared" si="4"/>
        <v>0</v>
      </c>
      <c r="AI30" s="69">
        <f t="shared" si="5"/>
        <v>2</v>
      </c>
      <c r="AJ30" s="11"/>
      <c r="AK30" s="11"/>
      <c r="AL30" s="11"/>
      <c r="AM30" s="11"/>
      <c r="AN30" s="11"/>
      <c r="AO30" s="11"/>
      <c r="AP30" s="11"/>
    </row>
    <row r="31" spans="1:42" s="11" customFormat="1" ht="27" customHeight="1" x14ac:dyDescent="0.2">
      <c r="A31" s="7" t="s">
        <v>30</v>
      </c>
      <c r="B31" s="7" t="s">
        <v>216</v>
      </c>
      <c r="C31" s="8" t="s">
        <v>636</v>
      </c>
      <c r="D31" s="24"/>
      <c r="E31" s="25"/>
      <c r="F31" s="25"/>
      <c r="G31" s="25"/>
      <c r="H31" s="25"/>
      <c r="I31" s="26">
        <f t="shared" si="0"/>
        <v>0</v>
      </c>
      <c r="J31" s="7" t="s">
        <v>30</v>
      </c>
      <c r="K31" s="7" t="s">
        <v>216</v>
      </c>
      <c r="L31" s="7" t="s">
        <v>873</v>
      </c>
      <c r="M31" s="24"/>
      <c r="N31" s="25"/>
      <c r="O31" s="25"/>
      <c r="P31" s="25"/>
      <c r="Q31" s="25"/>
      <c r="R31" s="31">
        <f t="shared" si="1"/>
        <v>0</v>
      </c>
      <c r="S31" s="7" t="s">
        <v>30</v>
      </c>
      <c r="T31" s="7" t="s">
        <v>216</v>
      </c>
      <c r="U31" s="7" t="s">
        <v>455</v>
      </c>
      <c r="V31" s="24"/>
      <c r="W31" s="25"/>
      <c r="X31" s="25"/>
      <c r="Y31" s="25">
        <v>2</v>
      </c>
      <c r="Z31" s="25"/>
      <c r="AA31" s="49">
        <f t="shared" si="2"/>
        <v>2</v>
      </c>
      <c r="AG31" s="63">
        <f t="shared" si="3"/>
        <v>0</v>
      </c>
      <c r="AH31" s="59">
        <f t="shared" si="4"/>
        <v>0</v>
      </c>
      <c r="AI31" s="69">
        <f t="shared" si="5"/>
        <v>2</v>
      </c>
    </row>
    <row r="32" spans="1:42" s="11" customFormat="1" ht="27" customHeight="1" x14ac:dyDescent="0.2">
      <c r="A32" s="7" t="s">
        <v>31</v>
      </c>
      <c r="B32" s="7" t="s">
        <v>217</v>
      </c>
      <c r="C32" s="8" t="s">
        <v>637</v>
      </c>
      <c r="D32" s="24"/>
      <c r="E32" s="25"/>
      <c r="F32" s="25"/>
      <c r="G32" s="25"/>
      <c r="H32" s="25"/>
      <c r="I32" s="26">
        <f t="shared" si="0"/>
        <v>0</v>
      </c>
      <c r="J32" s="7" t="s">
        <v>31</v>
      </c>
      <c r="K32" s="7" t="s">
        <v>217</v>
      </c>
      <c r="L32" s="7" t="s">
        <v>381</v>
      </c>
      <c r="M32" s="24"/>
      <c r="N32" s="25"/>
      <c r="O32" s="25"/>
      <c r="P32" s="25"/>
      <c r="Q32" s="25"/>
      <c r="R32" s="31">
        <f t="shared" si="1"/>
        <v>0</v>
      </c>
      <c r="S32" s="7" t="s">
        <v>31</v>
      </c>
      <c r="T32" s="7" t="s">
        <v>217</v>
      </c>
      <c r="U32" s="7" t="s">
        <v>456</v>
      </c>
      <c r="V32" s="24"/>
      <c r="W32" s="25"/>
      <c r="X32" s="25"/>
      <c r="Y32" s="25">
        <v>2</v>
      </c>
      <c r="Z32" s="25"/>
      <c r="AA32" s="49">
        <f t="shared" si="2"/>
        <v>2</v>
      </c>
      <c r="AG32" s="63">
        <f t="shared" si="3"/>
        <v>0</v>
      </c>
      <c r="AH32" s="59">
        <f t="shared" si="4"/>
        <v>0</v>
      </c>
      <c r="AI32" s="69">
        <f t="shared" si="5"/>
        <v>2</v>
      </c>
    </row>
    <row r="33" spans="1:35" s="11" customFormat="1" ht="27" customHeight="1" x14ac:dyDescent="0.2">
      <c r="A33" s="7" t="s">
        <v>32</v>
      </c>
      <c r="B33" s="7" t="s">
        <v>218</v>
      </c>
      <c r="C33" s="8" t="s">
        <v>638</v>
      </c>
      <c r="D33" s="24"/>
      <c r="E33" s="25"/>
      <c r="F33" s="25"/>
      <c r="G33" s="25">
        <v>2</v>
      </c>
      <c r="H33" s="25"/>
      <c r="I33" s="26">
        <f t="shared" si="0"/>
        <v>2</v>
      </c>
      <c r="J33" s="7" t="s">
        <v>32</v>
      </c>
      <c r="K33" s="7" t="s">
        <v>218</v>
      </c>
      <c r="L33" s="7" t="s">
        <v>382</v>
      </c>
      <c r="M33" s="24"/>
      <c r="N33" s="25"/>
      <c r="O33" s="25"/>
      <c r="P33" s="25">
        <v>2</v>
      </c>
      <c r="Q33" s="25"/>
      <c r="R33" s="31">
        <f t="shared" si="1"/>
        <v>2</v>
      </c>
      <c r="S33" s="7" t="s">
        <v>32</v>
      </c>
      <c r="T33" s="7" t="s">
        <v>218</v>
      </c>
      <c r="U33" s="7" t="s">
        <v>457</v>
      </c>
      <c r="V33" s="24"/>
      <c r="W33" s="25"/>
      <c r="X33" s="25"/>
      <c r="Y33" s="25">
        <v>2</v>
      </c>
      <c r="Z33" s="25"/>
      <c r="AA33" s="49">
        <f t="shared" si="2"/>
        <v>2</v>
      </c>
      <c r="AG33" s="63">
        <f t="shared" si="3"/>
        <v>2</v>
      </c>
      <c r="AH33" s="59">
        <f t="shared" si="4"/>
        <v>2</v>
      </c>
      <c r="AI33" s="69">
        <f t="shared" si="5"/>
        <v>2</v>
      </c>
    </row>
    <row r="34" spans="1:35" s="11" customFormat="1" ht="27" customHeight="1" x14ac:dyDescent="0.2">
      <c r="A34" s="7" t="s">
        <v>33</v>
      </c>
      <c r="B34" s="7" t="s">
        <v>219</v>
      </c>
      <c r="C34" s="8" t="s">
        <v>639</v>
      </c>
      <c r="D34" s="24"/>
      <c r="E34" s="25"/>
      <c r="F34" s="25"/>
      <c r="G34" s="25"/>
      <c r="H34" s="25">
        <v>1</v>
      </c>
      <c r="I34" s="26">
        <f t="shared" si="0"/>
        <v>0.5</v>
      </c>
      <c r="J34" s="7" t="s">
        <v>33</v>
      </c>
      <c r="K34" s="7" t="s">
        <v>219</v>
      </c>
      <c r="L34" s="7" t="s">
        <v>383</v>
      </c>
      <c r="M34" s="24">
        <v>1</v>
      </c>
      <c r="N34" s="25"/>
      <c r="O34" s="25"/>
      <c r="P34" s="25"/>
      <c r="Q34" s="25">
        <v>2</v>
      </c>
      <c r="R34" s="31">
        <f t="shared" si="1"/>
        <v>2</v>
      </c>
      <c r="S34" s="7" t="s">
        <v>33</v>
      </c>
      <c r="T34" s="7" t="s">
        <v>219</v>
      </c>
      <c r="U34" s="7" t="s">
        <v>458</v>
      </c>
      <c r="V34" s="24"/>
      <c r="W34" s="25"/>
      <c r="X34" s="25"/>
      <c r="Y34" s="25">
        <v>2</v>
      </c>
      <c r="Z34" s="25"/>
      <c r="AA34" s="49">
        <f t="shared" si="2"/>
        <v>2</v>
      </c>
      <c r="AG34" s="63">
        <f t="shared" si="3"/>
        <v>0</v>
      </c>
      <c r="AH34" s="59">
        <f t="shared" si="4"/>
        <v>0</v>
      </c>
      <c r="AI34" s="69">
        <f t="shared" si="5"/>
        <v>2</v>
      </c>
    </row>
    <row r="35" spans="1:35" s="11" customFormat="1" ht="27" customHeight="1" x14ac:dyDescent="0.2">
      <c r="A35" s="7" t="s">
        <v>34</v>
      </c>
      <c r="B35" s="7" t="s">
        <v>220</v>
      </c>
      <c r="C35" s="8" t="s">
        <v>640</v>
      </c>
      <c r="D35" s="24"/>
      <c r="E35" s="25"/>
      <c r="F35" s="25">
        <v>2</v>
      </c>
      <c r="G35" s="25"/>
      <c r="H35" s="25"/>
      <c r="I35" s="26">
        <f t="shared" si="0"/>
        <v>2</v>
      </c>
      <c r="J35" s="7" t="s">
        <v>34</v>
      </c>
      <c r="K35" s="7" t="s">
        <v>220</v>
      </c>
      <c r="L35" s="7" t="s">
        <v>874</v>
      </c>
      <c r="M35" s="24"/>
      <c r="N35" s="25"/>
      <c r="O35" s="25">
        <v>2</v>
      </c>
      <c r="P35" s="25"/>
      <c r="Q35" s="25"/>
      <c r="R35" s="31">
        <f t="shared" si="1"/>
        <v>2</v>
      </c>
      <c r="S35" s="7" t="s">
        <v>34</v>
      </c>
      <c r="T35" s="7" t="s">
        <v>220</v>
      </c>
      <c r="U35" s="7" t="s">
        <v>459</v>
      </c>
      <c r="V35" s="24"/>
      <c r="W35" s="25"/>
      <c r="X35" s="25">
        <v>1</v>
      </c>
      <c r="Y35" s="25"/>
      <c r="Z35" s="25"/>
      <c r="AA35" s="49">
        <f t="shared" si="2"/>
        <v>1</v>
      </c>
      <c r="AG35" s="63">
        <f t="shared" si="3"/>
        <v>2</v>
      </c>
      <c r="AH35" s="59">
        <f t="shared" si="4"/>
        <v>2</v>
      </c>
      <c r="AI35" s="69">
        <f t="shared" si="5"/>
        <v>1</v>
      </c>
    </row>
    <row r="36" spans="1:35" s="11" customFormat="1" ht="27" customHeight="1" x14ac:dyDescent="0.2">
      <c r="A36" s="7" t="s">
        <v>35</v>
      </c>
      <c r="B36" s="7" t="s">
        <v>221</v>
      </c>
      <c r="C36" s="9" t="s">
        <v>641</v>
      </c>
      <c r="D36" s="27"/>
      <c r="E36" s="25"/>
      <c r="F36" s="25"/>
      <c r="G36" s="25"/>
      <c r="H36" s="25"/>
      <c r="I36" s="26">
        <f t="shared" si="0"/>
        <v>0</v>
      </c>
      <c r="J36" s="7" t="s">
        <v>35</v>
      </c>
      <c r="K36" s="7" t="s">
        <v>221</v>
      </c>
      <c r="L36" s="7" t="s">
        <v>875</v>
      </c>
      <c r="M36" s="27"/>
      <c r="N36" s="25"/>
      <c r="O36" s="25"/>
      <c r="P36" s="25"/>
      <c r="Q36" s="25"/>
      <c r="R36" s="31">
        <f t="shared" si="1"/>
        <v>0</v>
      </c>
      <c r="S36" s="7" t="s">
        <v>35</v>
      </c>
      <c r="T36" s="7" t="s">
        <v>221</v>
      </c>
      <c r="U36" s="7" t="s">
        <v>460</v>
      </c>
      <c r="V36" s="27"/>
      <c r="W36" s="25"/>
      <c r="X36" s="25">
        <v>2</v>
      </c>
      <c r="Y36" s="25"/>
      <c r="Z36" s="25"/>
      <c r="AA36" s="49">
        <f t="shared" si="2"/>
        <v>2</v>
      </c>
      <c r="AG36" s="63">
        <f t="shared" si="3"/>
        <v>0</v>
      </c>
      <c r="AH36" s="59">
        <f t="shared" si="4"/>
        <v>0</v>
      </c>
      <c r="AI36" s="69">
        <f t="shared" si="5"/>
        <v>2</v>
      </c>
    </row>
    <row r="37" spans="1:35" s="11" customFormat="1" ht="27" customHeight="1" x14ac:dyDescent="0.2">
      <c r="A37" s="7" t="s">
        <v>36</v>
      </c>
      <c r="B37" s="7" t="s">
        <v>222</v>
      </c>
      <c r="C37" s="8" t="s">
        <v>642</v>
      </c>
      <c r="D37" s="24"/>
      <c r="E37" s="25"/>
      <c r="F37" s="25"/>
      <c r="G37" s="25"/>
      <c r="H37" s="25"/>
      <c r="I37" s="26">
        <f t="shared" si="0"/>
        <v>0</v>
      </c>
      <c r="J37" s="7" t="s">
        <v>36</v>
      </c>
      <c r="K37" s="7" t="s">
        <v>222</v>
      </c>
      <c r="L37" s="7" t="s">
        <v>384</v>
      </c>
      <c r="M37" s="24"/>
      <c r="N37" s="25"/>
      <c r="O37" s="25"/>
      <c r="P37" s="25"/>
      <c r="Q37" s="25"/>
      <c r="R37" s="31">
        <f t="shared" si="1"/>
        <v>0</v>
      </c>
      <c r="S37" s="7" t="s">
        <v>36</v>
      </c>
      <c r="T37" s="7" t="s">
        <v>222</v>
      </c>
      <c r="U37" s="7" t="s">
        <v>461</v>
      </c>
      <c r="V37" s="24">
        <v>1</v>
      </c>
      <c r="W37" s="25"/>
      <c r="X37" s="25"/>
      <c r="Y37" s="25">
        <v>2</v>
      </c>
      <c r="Z37" s="25"/>
      <c r="AA37" s="49">
        <f t="shared" si="2"/>
        <v>3</v>
      </c>
      <c r="AG37" s="63">
        <f t="shared" si="3"/>
        <v>0</v>
      </c>
      <c r="AH37" s="59">
        <f t="shared" si="4"/>
        <v>0</v>
      </c>
      <c r="AI37" s="69">
        <f t="shared" si="5"/>
        <v>2</v>
      </c>
    </row>
    <row r="38" spans="1:35" s="11" customFormat="1" ht="27" customHeight="1" x14ac:dyDescent="0.2">
      <c r="A38" s="7" t="s">
        <v>37</v>
      </c>
      <c r="B38" s="7" t="s">
        <v>223</v>
      </c>
      <c r="C38" s="8" t="s">
        <v>643</v>
      </c>
      <c r="D38" s="24"/>
      <c r="E38" s="25"/>
      <c r="F38" s="25"/>
      <c r="G38" s="25"/>
      <c r="H38" s="25"/>
      <c r="I38" s="26">
        <f t="shared" si="0"/>
        <v>0</v>
      </c>
      <c r="J38" s="7" t="s">
        <v>37</v>
      </c>
      <c r="K38" s="7" t="s">
        <v>223</v>
      </c>
      <c r="L38" s="7" t="s">
        <v>876</v>
      </c>
      <c r="M38" s="24"/>
      <c r="N38" s="25"/>
      <c r="O38" s="25"/>
      <c r="P38" s="25"/>
      <c r="Q38" s="25"/>
      <c r="R38" s="31">
        <f t="shared" si="1"/>
        <v>0</v>
      </c>
      <c r="S38" s="7" t="s">
        <v>37</v>
      </c>
      <c r="T38" s="7" t="s">
        <v>223</v>
      </c>
      <c r="U38" s="7" t="s">
        <v>462</v>
      </c>
      <c r="V38" s="24">
        <v>1</v>
      </c>
      <c r="W38" s="25"/>
      <c r="X38" s="25"/>
      <c r="Y38" s="25">
        <v>1</v>
      </c>
      <c r="Z38" s="25"/>
      <c r="AA38" s="49">
        <f t="shared" si="2"/>
        <v>2</v>
      </c>
      <c r="AG38" s="63">
        <f t="shared" si="3"/>
        <v>0</v>
      </c>
      <c r="AH38" s="59">
        <f t="shared" si="4"/>
        <v>0</v>
      </c>
      <c r="AI38" s="69">
        <f t="shared" si="5"/>
        <v>1</v>
      </c>
    </row>
    <row r="39" spans="1:35" s="11" customFormat="1" ht="27" customHeight="1" x14ac:dyDescent="0.2">
      <c r="A39" s="7" t="s">
        <v>38</v>
      </c>
      <c r="B39" s="7" t="s">
        <v>224</v>
      </c>
      <c r="C39" s="8" t="s">
        <v>1008</v>
      </c>
      <c r="D39" s="24"/>
      <c r="E39" s="25"/>
      <c r="F39" s="25"/>
      <c r="G39" s="25"/>
      <c r="H39" s="25"/>
      <c r="I39" s="26">
        <f t="shared" si="0"/>
        <v>0</v>
      </c>
      <c r="J39" s="7" t="s">
        <v>38</v>
      </c>
      <c r="K39" s="7" t="s">
        <v>224</v>
      </c>
      <c r="L39" s="7" t="s">
        <v>385</v>
      </c>
      <c r="M39" s="24">
        <v>1</v>
      </c>
      <c r="N39" s="25"/>
      <c r="O39" s="25"/>
      <c r="P39" s="25"/>
      <c r="Q39" s="25">
        <v>1</v>
      </c>
      <c r="R39" s="31">
        <f t="shared" si="1"/>
        <v>1.5</v>
      </c>
      <c r="S39" s="7" t="s">
        <v>38</v>
      </c>
      <c r="T39" s="7" t="s">
        <v>224</v>
      </c>
      <c r="U39" s="7" t="s">
        <v>463</v>
      </c>
      <c r="V39" s="24"/>
      <c r="W39" s="25"/>
      <c r="X39" s="25"/>
      <c r="Y39" s="25">
        <v>1</v>
      </c>
      <c r="Z39" s="25"/>
      <c r="AA39" s="49">
        <f t="shared" si="2"/>
        <v>1</v>
      </c>
      <c r="AG39" s="63">
        <f t="shared" si="3"/>
        <v>0</v>
      </c>
      <c r="AH39" s="59">
        <f t="shared" si="4"/>
        <v>0</v>
      </c>
      <c r="AI39" s="69">
        <f t="shared" si="5"/>
        <v>1</v>
      </c>
    </row>
    <row r="40" spans="1:35" s="11" customFormat="1" ht="27" customHeight="1" x14ac:dyDescent="0.2">
      <c r="A40" s="7" t="s">
        <v>39</v>
      </c>
      <c r="B40" s="7" t="s">
        <v>225</v>
      </c>
      <c r="C40" s="8" t="s">
        <v>644</v>
      </c>
      <c r="D40" s="24">
        <v>2</v>
      </c>
      <c r="E40" s="25"/>
      <c r="F40" s="25"/>
      <c r="G40" s="25"/>
      <c r="H40" s="25"/>
      <c r="I40" s="26">
        <f t="shared" si="0"/>
        <v>2</v>
      </c>
      <c r="J40" s="7" t="s">
        <v>39</v>
      </c>
      <c r="K40" s="7" t="s">
        <v>225</v>
      </c>
      <c r="L40" s="7" t="s">
        <v>386</v>
      </c>
      <c r="M40" s="24"/>
      <c r="N40" s="25"/>
      <c r="O40" s="25">
        <v>2</v>
      </c>
      <c r="P40" s="25"/>
      <c r="Q40" s="25"/>
      <c r="R40" s="31">
        <f t="shared" si="1"/>
        <v>2</v>
      </c>
      <c r="S40" s="7" t="s">
        <v>39</v>
      </c>
      <c r="T40" s="7" t="s">
        <v>225</v>
      </c>
      <c r="U40" s="7" t="s">
        <v>464</v>
      </c>
      <c r="V40" s="24"/>
      <c r="W40" s="25"/>
      <c r="X40" s="25">
        <v>2</v>
      </c>
      <c r="Y40" s="25"/>
      <c r="Z40" s="25"/>
      <c r="AA40" s="49">
        <f t="shared" si="2"/>
        <v>2</v>
      </c>
      <c r="AG40" s="63">
        <f t="shared" si="3"/>
        <v>0</v>
      </c>
      <c r="AH40" s="59">
        <f t="shared" si="4"/>
        <v>2</v>
      </c>
      <c r="AI40" s="69">
        <f t="shared" si="5"/>
        <v>2</v>
      </c>
    </row>
    <row r="41" spans="1:35" s="11" customFormat="1" ht="27" customHeight="1" x14ac:dyDescent="0.2">
      <c r="A41" s="7" t="s">
        <v>40</v>
      </c>
      <c r="B41" s="7" t="s">
        <v>226</v>
      </c>
      <c r="C41" s="8" t="s">
        <v>645</v>
      </c>
      <c r="D41" s="24"/>
      <c r="E41" s="25"/>
      <c r="F41" s="25"/>
      <c r="G41" s="25"/>
      <c r="H41" s="25"/>
      <c r="I41" s="26">
        <f t="shared" si="0"/>
        <v>0</v>
      </c>
      <c r="J41" s="7" t="s">
        <v>40</v>
      </c>
      <c r="K41" s="7" t="s">
        <v>226</v>
      </c>
      <c r="L41" s="7" t="s">
        <v>877</v>
      </c>
      <c r="M41" s="24"/>
      <c r="N41" s="25"/>
      <c r="O41" s="25"/>
      <c r="P41" s="25"/>
      <c r="Q41" s="25"/>
      <c r="R41" s="31">
        <f t="shared" si="1"/>
        <v>0</v>
      </c>
      <c r="S41" s="7" t="s">
        <v>40</v>
      </c>
      <c r="T41" s="7" t="s">
        <v>226</v>
      </c>
      <c r="U41" s="7" t="s">
        <v>465</v>
      </c>
      <c r="V41" s="24"/>
      <c r="W41" s="25"/>
      <c r="X41" s="25"/>
      <c r="Y41" s="25">
        <v>2</v>
      </c>
      <c r="Z41" s="25"/>
      <c r="AA41" s="49">
        <f t="shared" si="2"/>
        <v>2</v>
      </c>
      <c r="AG41" s="63">
        <f t="shared" si="3"/>
        <v>0</v>
      </c>
      <c r="AH41" s="59">
        <f t="shared" si="4"/>
        <v>0</v>
      </c>
      <c r="AI41" s="69">
        <f t="shared" si="5"/>
        <v>2</v>
      </c>
    </row>
    <row r="42" spans="1:35" s="11" customFormat="1" ht="27" customHeight="1" x14ac:dyDescent="0.2">
      <c r="A42" s="7" t="s">
        <v>41</v>
      </c>
      <c r="B42" s="7" t="s">
        <v>227</v>
      </c>
      <c r="C42" s="8" t="s">
        <v>646</v>
      </c>
      <c r="D42" s="24"/>
      <c r="E42" s="25"/>
      <c r="F42" s="25"/>
      <c r="G42" s="25"/>
      <c r="H42" s="25"/>
      <c r="I42" s="26">
        <f t="shared" si="0"/>
        <v>0</v>
      </c>
      <c r="J42" s="7" t="s">
        <v>41</v>
      </c>
      <c r="K42" s="7" t="s">
        <v>227</v>
      </c>
      <c r="L42" s="7" t="s">
        <v>878</v>
      </c>
      <c r="M42" s="24"/>
      <c r="N42" s="25"/>
      <c r="O42" s="25">
        <v>2</v>
      </c>
      <c r="P42" s="25"/>
      <c r="Q42" s="25"/>
      <c r="R42" s="31">
        <f t="shared" si="1"/>
        <v>2</v>
      </c>
      <c r="S42" s="7" t="s">
        <v>41</v>
      </c>
      <c r="T42" s="7" t="s">
        <v>227</v>
      </c>
      <c r="U42" s="7" t="s">
        <v>466</v>
      </c>
      <c r="V42" s="24"/>
      <c r="W42" s="25"/>
      <c r="X42" s="25">
        <v>2</v>
      </c>
      <c r="Y42" s="25"/>
      <c r="Z42" s="25"/>
      <c r="AA42" s="49">
        <f t="shared" si="2"/>
        <v>2</v>
      </c>
      <c r="AG42" s="63">
        <f t="shared" si="3"/>
        <v>0</v>
      </c>
      <c r="AH42" s="59">
        <f t="shared" si="4"/>
        <v>2</v>
      </c>
      <c r="AI42" s="69">
        <f t="shared" si="5"/>
        <v>2</v>
      </c>
    </row>
    <row r="43" spans="1:35" s="11" customFormat="1" ht="27" customHeight="1" x14ac:dyDescent="0.2">
      <c r="A43" s="7" t="s">
        <v>42</v>
      </c>
      <c r="B43" s="7" t="s">
        <v>228</v>
      </c>
      <c r="C43" s="8" t="s">
        <v>647</v>
      </c>
      <c r="D43" s="24"/>
      <c r="E43" s="25"/>
      <c r="F43" s="25"/>
      <c r="G43" s="25"/>
      <c r="H43" s="25"/>
      <c r="I43" s="26">
        <f t="shared" si="0"/>
        <v>0</v>
      </c>
      <c r="J43" s="7" t="s">
        <v>42</v>
      </c>
      <c r="K43" s="7" t="s">
        <v>228</v>
      </c>
      <c r="L43" s="7" t="s">
        <v>879</v>
      </c>
      <c r="M43" s="24"/>
      <c r="N43" s="25"/>
      <c r="O43" s="25"/>
      <c r="P43" s="25"/>
      <c r="Q43" s="25">
        <v>2</v>
      </c>
      <c r="R43" s="31">
        <f t="shared" si="1"/>
        <v>1</v>
      </c>
      <c r="S43" s="7" t="s">
        <v>42</v>
      </c>
      <c r="T43" s="7" t="s">
        <v>228</v>
      </c>
      <c r="U43" s="7" t="s">
        <v>467</v>
      </c>
      <c r="V43" s="24"/>
      <c r="W43" s="25"/>
      <c r="X43" s="25">
        <v>2</v>
      </c>
      <c r="Y43" s="25"/>
      <c r="Z43" s="25"/>
      <c r="AA43" s="49">
        <f t="shared" si="2"/>
        <v>2</v>
      </c>
      <c r="AG43" s="63">
        <f t="shared" si="3"/>
        <v>0</v>
      </c>
      <c r="AH43" s="59">
        <f t="shared" si="4"/>
        <v>0</v>
      </c>
      <c r="AI43" s="69">
        <f t="shared" si="5"/>
        <v>2</v>
      </c>
    </row>
    <row r="44" spans="1:35" s="11" customFormat="1" ht="27" customHeight="1" x14ac:dyDescent="0.2">
      <c r="A44" s="7" t="s">
        <v>43</v>
      </c>
      <c r="B44" s="7" t="s">
        <v>229</v>
      </c>
      <c r="C44" s="8" t="s">
        <v>648</v>
      </c>
      <c r="D44" s="24"/>
      <c r="E44" s="25"/>
      <c r="F44" s="25"/>
      <c r="G44" s="25"/>
      <c r="H44" s="25"/>
      <c r="I44" s="26">
        <f t="shared" si="0"/>
        <v>0</v>
      </c>
      <c r="J44" s="7" t="s">
        <v>43</v>
      </c>
      <c r="K44" s="7" t="s">
        <v>229</v>
      </c>
      <c r="L44" s="7" t="s">
        <v>880</v>
      </c>
      <c r="M44" s="24"/>
      <c r="N44" s="25"/>
      <c r="O44" s="25"/>
      <c r="P44" s="25"/>
      <c r="Q44" s="25"/>
      <c r="R44" s="31">
        <f t="shared" si="1"/>
        <v>0</v>
      </c>
      <c r="S44" s="7" t="s">
        <v>43</v>
      </c>
      <c r="T44" s="7" t="s">
        <v>229</v>
      </c>
      <c r="U44" s="7" t="s">
        <v>468</v>
      </c>
      <c r="V44" s="24"/>
      <c r="W44" s="25">
        <v>2</v>
      </c>
      <c r="X44" s="25"/>
      <c r="Y44" s="25"/>
      <c r="Z44" s="25"/>
      <c r="AA44" s="49">
        <f t="shared" si="2"/>
        <v>2</v>
      </c>
      <c r="AG44" s="63">
        <f t="shared" si="3"/>
        <v>0</v>
      </c>
      <c r="AH44" s="59">
        <f t="shared" si="4"/>
        <v>0</v>
      </c>
      <c r="AI44" s="69">
        <f t="shared" si="5"/>
        <v>2</v>
      </c>
    </row>
    <row r="45" spans="1:35" s="11" customFormat="1" ht="27" customHeight="1" x14ac:dyDescent="0.2">
      <c r="A45" s="7" t="s">
        <v>44</v>
      </c>
      <c r="B45" s="7" t="s">
        <v>230</v>
      </c>
      <c r="C45" s="8" t="s">
        <v>649</v>
      </c>
      <c r="D45" s="24"/>
      <c r="E45" s="25"/>
      <c r="F45" s="25"/>
      <c r="G45" s="25">
        <v>1</v>
      </c>
      <c r="H45" s="25"/>
      <c r="I45" s="26">
        <f t="shared" si="0"/>
        <v>1</v>
      </c>
      <c r="J45" s="7" t="s">
        <v>44</v>
      </c>
      <c r="K45" s="7" t="s">
        <v>230</v>
      </c>
      <c r="L45" s="7" t="s">
        <v>881</v>
      </c>
      <c r="M45" s="24"/>
      <c r="N45" s="25"/>
      <c r="O45" s="25">
        <v>2</v>
      </c>
      <c r="P45" s="25"/>
      <c r="Q45" s="25"/>
      <c r="R45" s="31">
        <f t="shared" si="1"/>
        <v>2</v>
      </c>
      <c r="S45" s="7" t="s">
        <v>44</v>
      </c>
      <c r="T45" s="7" t="s">
        <v>230</v>
      </c>
      <c r="U45" s="7" t="s">
        <v>469</v>
      </c>
      <c r="V45" s="24"/>
      <c r="W45" s="25"/>
      <c r="X45" s="25">
        <v>2</v>
      </c>
      <c r="Y45" s="25"/>
      <c r="Z45" s="25"/>
      <c r="AA45" s="49">
        <f t="shared" si="2"/>
        <v>2</v>
      </c>
      <c r="AG45" s="63">
        <f t="shared" si="3"/>
        <v>1</v>
      </c>
      <c r="AH45" s="59">
        <f t="shared" si="4"/>
        <v>2</v>
      </c>
      <c r="AI45" s="69">
        <f t="shared" si="5"/>
        <v>2</v>
      </c>
    </row>
    <row r="46" spans="1:35" s="11" customFormat="1" ht="27" customHeight="1" x14ac:dyDescent="0.2">
      <c r="A46" s="7" t="s">
        <v>45</v>
      </c>
      <c r="B46" s="7" t="s">
        <v>231</v>
      </c>
      <c r="C46" s="8" t="s">
        <v>650</v>
      </c>
      <c r="D46" s="24">
        <v>1</v>
      </c>
      <c r="E46" s="25"/>
      <c r="F46" s="25"/>
      <c r="G46" s="25">
        <v>1</v>
      </c>
      <c r="H46" s="25"/>
      <c r="I46" s="26">
        <f t="shared" si="0"/>
        <v>2</v>
      </c>
      <c r="J46" s="7" t="s">
        <v>45</v>
      </c>
      <c r="K46" s="7" t="s">
        <v>231</v>
      </c>
      <c r="L46" s="7" t="s">
        <v>387</v>
      </c>
      <c r="M46" s="24"/>
      <c r="N46" s="25"/>
      <c r="O46" s="25"/>
      <c r="P46" s="25"/>
      <c r="Q46" s="25"/>
      <c r="R46" s="31">
        <f t="shared" si="1"/>
        <v>0</v>
      </c>
      <c r="S46" s="7" t="s">
        <v>45</v>
      </c>
      <c r="T46" s="7" t="s">
        <v>231</v>
      </c>
      <c r="U46" s="7" t="s">
        <v>470</v>
      </c>
      <c r="V46" s="24"/>
      <c r="W46" s="25"/>
      <c r="X46" s="25"/>
      <c r="Y46" s="25">
        <v>2</v>
      </c>
      <c r="Z46" s="25"/>
      <c r="AA46" s="49">
        <f t="shared" si="2"/>
        <v>2</v>
      </c>
      <c r="AG46" s="63">
        <f t="shared" si="3"/>
        <v>1</v>
      </c>
      <c r="AH46" s="59">
        <f t="shared" si="4"/>
        <v>0</v>
      </c>
      <c r="AI46" s="69">
        <f t="shared" si="5"/>
        <v>2</v>
      </c>
    </row>
    <row r="47" spans="1:35" s="11" customFormat="1" ht="27" customHeight="1" x14ac:dyDescent="0.2">
      <c r="A47" s="7" t="s">
        <v>46</v>
      </c>
      <c r="B47" s="7" t="s">
        <v>232</v>
      </c>
      <c r="C47" s="8" t="s">
        <v>651</v>
      </c>
      <c r="D47" s="24"/>
      <c r="E47" s="25"/>
      <c r="F47" s="25"/>
      <c r="G47" s="25">
        <v>2</v>
      </c>
      <c r="H47" s="25"/>
      <c r="I47" s="26">
        <f t="shared" si="0"/>
        <v>2</v>
      </c>
      <c r="J47" s="7" t="s">
        <v>46</v>
      </c>
      <c r="K47" s="7" t="s">
        <v>232</v>
      </c>
      <c r="L47" s="7" t="s">
        <v>388</v>
      </c>
      <c r="M47" s="24"/>
      <c r="N47" s="25"/>
      <c r="O47" s="25"/>
      <c r="P47" s="25">
        <v>1</v>
      </c>
      <c r="Q47" s="25"/>
      <c r="R47" s="31">
        <f t="shared" si="1"/>
        <v>1</v>
      </c>
      <c r="S47" s="7" t="s">
        <v>46</v>
      </c>
      <c r="T47" s="7" t="s">
        <v>232</v>
      </c>
      <c r="U47" s="7" t="s">
        <v>471</v>
      </c>
      <c r="V47" s="24"/>
      <c r="W47" s="25"/>
      <c r="X47" s="25"/>
      <c r="Y47" s="25"/>
      <c r="Z47" s="25">
        <v>1</v>
      </c>
      <c r="AA47" s="49">
        <f t="shared" si="2"/>
        <v>0.5</v>
      </c>
      <c r="AG47" s="63">
        <f t="shared" si="3"/>
        <v>2</v>
      </c>
      <c r="AH47" s="59">
        <f t="shared" si="4"/>
        <v>1</v>
      </c>
      <c r="AI47" s="69">
        <f t="shared" si="5"/>
        <v>0</v>
      </c>
    </row>
    <row r="48" spans="1:35" s="11" customFormat="1" ht="27" customHeight="1" x14ac:dyDescent="0.2">
      <c r="A48" s="7" t="s">
        <v>47</v>
      </c>
      <c r="B48" s="7" t="s">
        <v>233</v>
      </c>
      <c r="C48" s="8" t="s">
        <v>652</v>
      </c>
      <c r="D48" s="24"/>
      <c r="E48" s="25"/>
      <c r="F48" s="25"/>
      <c r="G48" s="25"/>
      <c r="H48" s="25"/>
      <c r="I48" s="26">
        <f t="shared" si="0"/>
        <v>0</v>
      </c>
      <c r="J48" s="7" t="s">
        <v>47</v>
      </c>
      <c r="K48" s="7" t="s">
        <v>233</v>
      </c>
      <c r="L48" s="7" t="s">
        <v>882</v>
      </c>
      <c r="M48" s="24"/>
      <c r="N48" s="25"/>
      <c r="O48" s="25"/>
      <c r="P48" s="25"/>
      <c r="Q48" s="25"/>
      <c r="R48" s="31">
        <f t="shared" si="1"/>
        <v>0</v>
      </c>
      <c r="S48" s="7" t="s">
        <v>47</v>
      </c>
      <c r="T48" s="7" t="s">
        <v>233</v>
      </c>
      <c r="U48" s="7" t="s">
        <v>472</v>
      </c>
      <c r="V48" s="24">
        <v>1</v>
      </c>
      <c r="W48" s="25"/>
      <c r="X48" s="25"/>
      <c r="Y48" s="25"/>
      <c r="Z48" s="25"/>
      <c r="AA48" s="49">
        <f t="shared" si="2"/>
        <v>1</v>
      </c>
      <c r="AG48" s="63">
        <f t="shared" si="3"/>
        <v>0</v>
      </c>
      <c r="AH48" s="59">
        <f t="shared" si="4"/>
        <v>0</v>
      </c>
      <c r="AI48" s="69">
        <f t="shared" si="5"/>
        <v>0</v>
      </c>
    </row>
    <row r="49" spans="1:42" s="11" customFormat="1" ht="27" customHeight="1" x14ac:dyDescent="0.2">
      <c r="A49" s="7" t="s">
        <v>48</v>
      </c>
      <c r="B49" s="7" t="s">
        <v>234</v>
      </c>
      <c r="C49" s="9" t="s">
        <v>653</v>
      </c>
      <c r="D49" s="27"/>
      <c r="E49" s="25"/>
      <c r="F49" s="25"/>
      <c r="G49" s="25"/>
      <c r="H49" s="25"/>
      <c r="I49" s="26">
        <f t="shared" si="0"/>
        <v>0</v>
      </c>
      <c r="J49" s="7" t="s">
        <v>48</v>
      </c>
      <c r="K49" s="7" t="s">
        <v>234</v>
      </c>
      <c r="L49" s="7" t="s">
        <v>389</v>
      </c>
      <c r="M49" s="27"/>
      <c r="N49" s="25"/>
      <c r="O49" s="25"/>
      <c r="P49" s="25"/>
      <c r="Q49" s="25">
        <v>1</v>
      </c>
      <c r="R49" s="31">
        <f t="shared" si="1"/>
        <v>0.5</v>
      </c>
      <c r="S49" s="7" t="s">
        <v>48</v>
      </c>
      <c r="T49" s="7" t="s">
        <v>234</v>
      </c>
      <c r="U49" s="7" t="s">
        <v>473</v>
      </c>
      <c r="V49" s="27">
        <v>1</v>
      </c>
      <c r="W49" s="25"/>
      <c r="X49" s="25"/>
      <c r="Y49" s="25">
        <v>2</v>
      </c>
      <c r="Z49" s="25"/>
      <c r="AA49" s="49">
        <f t="shared" si="2"/>
        <v>3</v>
      </c>
      <c r="AG49" s="63">
        <f t="shared" si="3"/>
        <v>0</v>
      </c>
      <c r="AH49" s="59">
        <f t="shared" si="4"/>
        <v>0</v>
      </c>
      <c r="AI49" s="69">
        <f t="shared" si="5"/>
        <v>2</v>
      </c>
    </row>
    <row r="50" spans="1:42" s="12" customFormat="1" ht="27" customHeight="1" x14ac:dyDescent="0.2">
      <c r="A50" s="7" t="s">
        <v>786</v>
      </c>
      <c r="B50" s="7" t="s">
        <v>787</v>
      </c>
      <c r="C50" s="8" t="s">
        <v>820</v>
      </c>
      <c r="D50" s="24">
        <v>1</v>
      </c>
      <c r="E50" s="25"/>
      <c r="F50" s="25"/>
      <c r="G50" s="25"/>
      <c r="H50" s="25"/>
      <c r="I50" s="26">
        <f t="shared" si="0"/>
        <v>1</v>
      </c>
      <c r="J50" s="7" t="s">
        <v>786</v>
      </c>
      <c r="K50" s="7" t="s">
        <v>787</v>
      </c>
      <c r="L50" s="7" t="s">
        <v>883</v>
      </c>
      <c r="M50" s="24"/>
      <c r="N50" s="25"/>
      <c r="O50" s="25"/>
      <c r="P50" s="25">
        <v>2</v>
      </c>
      <c r="Q50" s="25"/>
      <c r="R50" s="31">
        <f t="shared" si="1"/>
        <v>2</v>
      </c>
      <c r="S50" s="7" t="s">
        <v>786</v>
      </c>
      <c r="T50" s="7" t="s">
        <v>787</v>
      </c>
      <c r="U50" s="7" t="s">
        <v>834</v>
      </c>
      <c r="V50" s="24"/>
      <c r="W50" s="25"/>
      <c r="X50" s="25"/>
      <c r="Y50" s="25">
        <v>2</v>
      </c>
      <c r="Z50" s="25"/>
      <c r="AA50" s="49">
        <f t="shared" si="2"/>
        <v>2</v>
      </c>
      <c r="AB50" s="11"/>
      <c r="AC50" s="11"/>
      <c r="AD50" s="11"/>
      <c r="AE50" s="11"/>
      <c r="AF50" s="11"/>
      <c r="AG50" s="63">
        <f t="shared" si="3"/>
        <v>0</v>
      </c>
      <c r="AH50" s="59">
        <f t="shared" si="4"/>
        <v>2</v>
      </c>
      <c r="AI50" s="69">
        <f t="shared" si="5"/>
        <v>2</v>
      </c>
      <c r="AJ50" s="11"/>
      <c r="AK50" s="11"/>
      <c r="AL50" s="11"/>
      <c r="AM50" s="11"/>
      <c r="AN50" s="11"/>
      <c r="AO50" s="11"/>
      <c r="AP50" s="11"/>
    </row>
    <row r="51" spans="1:42" s="12" customFormat="1" ht="27" customHeight="1" x14ac:dyDescent="0.2">
      <c r="A51" s="7" t="s">
        <v>788</v>
      </c>
      <c r="B51" s="7" t="s">
        <v>789</v>
      </c>
      <c r="C51" s="8" t="s">
        <v>821</v>
      </c>
      <c r="D51" s="24"/>
      <c r="E51" s="25"/>
      <c r="F51" s="25"/>
      <c r="G51" s="25"/>
      <c r="H51" s="25"/>
      <c r="I51" s="26">
        <f t="shared" si="0"/>
        <v>0</v>
      </c>
      <c r="J51" s="7" t="s">
        <v>788</v>
      </c>
      <c r="K51" s="7" t="s">
        <v>789</v>
      </c>
      <c r="L51" s="7" t="s">
        <v>884</v>
      </c>
      <c r="M51" s="24"/>
      <c r="N51" s="25"/>
      <c r="O51" s="25"/>
      <c r="P51" s="25"/>
      <c r="Q51" s="25">
        <v>1</v>
      </c>
      <c r="R51" s="31">
        <f t="shared" si="1"/>
        <v>0.5</v>
      </c>
      <c r="S51" s="7" t="s">
        <v>788</v>
      </c>
      <c r="T51" s="7" t="s">
        <v>789</v>
      </c>
      <c r="U51" s="7" t="s">
        <v>835</v>
      </c>
      <c r="V51" s="24"/>
      <c r="W51" s="25"/>
      <c r="X51" s="25"/>
      <c r="Y51" s="25"/>
      <c r="Z51" s="25"/>
      <c r="AA51" s="49">
        <f t="shared" si="2"/>
        <v>0</v>
      </c>
      <c r="AB51" s="11"/>
      <c r="AC51" s="11"/>
      <c r="AD51" s="11"/>
      <c r="AE51" s="11"/>
      <c r="AF51" s="11"/>
      <c r="AG51" s="63">
        <f t="shared" si="3"/>
        <v>0</v>
      </c>
      <c r="AH51" s="59">
        <f t="shared" si="4"/>
        <v>0</v>
      </c>
      <c r="AI51" s="69">
        <f t="shared" si="5"/>
        <v>0</v>
      </c>
      <c r="AJ51" s="11"/>
      <c r="AK51" s="11"/>
      <c r="AL51" s="11"/>
      <c r="AM51" s="11"/>
      <c r="AN51" s="11"/>
      <c r="AO51" s="11"/>
      <c r="AP51" s="11"/>
    </row>
    <row r="52" spans="1:42" s="11" customFormat="1" ht="27" customHeight="1" x14ac:dyDescent="0.2">
      <c r="A52" s="7" t="s">
        <v>49</v>
      </c>
      <c r="B52" s="7" t="s">
        <v>235</v>
      </c>
      <c r="C52" s="8" t="s">
        <v>654</v>
      </c>
      <c r="D52" s="24"/>
      <c r="E52" s="25"/>
      <c r="F52" s="25"/>
      <c r="G52" s="25">
        <v>2</v>
      </c>
      <c r="H52" s="25"/>
      <c r="I52" s="26">
        <f t="shared" si="0"/>
        <v>2</v>
      </c>
      <c r="J52" s="7" t="s">
        <v>49</v>
      </c>
      <c r="K52" s="7" t="s">
        <v>235</v>
      </c>
      <c r="L52" s="7" t="s">
        <v>885</v>
      </c>
      <c r="M52" s="24"/>
      <c r="N52" s="25"/>
      <c r="O52" s="25"/>
      <c r="P52" s="25"/>
      <c r="Q52" s="25">
        <v>2</v>
      </c>
      <c r="R52" s="31">
        <f t="shared" si="1"/>
        <v>1</v>
      </c>
      <c r="S52" s="7" t="s">
        <v>49</v>
      </c>
      <c r="T52" s="7" t="s">
        <v>235</v>
      </c>
      <c r="U52" s="7" t="s">
        <v>474</v>
      </c>
      <c r="V52" s="24"/>
      <c r="W52" s="25"/>
      <c r="X52" s="25"/>
      <c r="Y52" s="25"/>
      <c r="Z52" s="25">
        <v>2</v>
      </c>
      <c r="AA52" s="49">
        <f t="shared" si="2"/>
        <v>1</v>
      </c>
      <c r="AG52" s="63">
        <f t="shared" si="3"/>
        <v>2</v>
      </c>
      <c r="AH52" s="59">
        <f t="shared" si="4"/>
        <v>0</v>
      </c>
      <c r="AI52" s="69">
        <f t="shared" si="5"/>
        <v>0</v>
      </c>
    </row>
    <row r="53" spans="1:42" s="11" customFormat="1" ht="27" customHeight="1" x14ac:dyDescent="0.2">
      <c r="A53" s="7" t="s">
        <v>50</v>
      </c>
      <c r="B53" s="7" t="s">
        <v>236</v>
      </c>
      <c r="C53" s="8" t="s">
        <v>655</v>
      </c>
      <c r="D53" s="24"/>
      <c r="E53" s="25"/>
      <c r="F53" s="25">
        <v>1</v>
      </c>
      <c r="G53" s="25"/>
      <c r="H53" s="25"/>
      <c r="I53" s="26">
        <f t="shared" si="0"/>
        <v>1</v>
      </c>
      <c r="J53" s="7" t="s">
        <v>50</v>
      </c>
      <c r="K53" s="7" t="s">
        <v>236</v>
      </c>
      <c r="L53" s="7" t="s">
        <v>886</v>
      </c>
      <c r="M53" s="24"/>
      <c r="N53" s="25"/>
      <c r="O53" s="25"/>
      <c r="P53" s="25"/>
      <c r="Q53" s="25"/>
      <c r="R53" s="31">
        <f t="shared" si="1"/>
        <v>0</v>
      </c>
      <c r="S53" s="7" t="s">
        <v>50</v>
      </c>
      <c r="T53" s="7" t="s">
        <v>236</v>
      </c>
      <c r="U53" s="7" t="s">
        <v>475</v>
      </c>
      <c r="V53" s="24"/>
      <c r="W53" s="25"/>
      <c r="X53" s="25">
        <v>1</v>
      </c>
      <c r="Y53" s="25"/>
      <c r="Z53" s="25"/>
      <c r="AA53" s="49">
        <f t="shared" si="2"/>
        <v>1</v>
      </c>
      <c r="AG53" s="63">
        <f t="shared" si="3"/>
        <v>1</v>
      </c>
      <c r="AH53" s="59">
        <f t="shared" si="4"/>
        <v>0</v>
      </c>
      <c r="AI53" s="69">
        <f t="shared" si="5"/>
        <v>1</v>
      </c>
    </row>
    <row r="54" spans="1:42" s="12" customFormat="1" ht="27" customHeight="1" x14ac:dyDescent="0.2">
      <c r="A54" s="7" t="s">
        <v>790</v>
      </c>
      <c r="B54" s="7" t="s">
        <v>791</v>
      </c>
      <c r="C54" s="8" t="s">
        <v>822</v>
      </c>
      <c r="D54" s="24"/>
      <c r="E54" s="25"/>
      <c r="F54" s="25">
        <v>2</v>
      </c>
      <c r="G54" s="25"/>
      <c r="H54" s="25"/>
      <c r="I54" s="26">
        <f t="shared" si="0"/>
        <v>2</v>
      </c>
      <c r="J54" s="7" t="s">
        <v>790</v>
      </c>
      <c r="K54" s="7" t="s">
        <v>791</v>
      </c>
      <c r="L54" s="7" t="s">
        <v>887</v>
      </c>
      <c r="M54" s="24"/>
      <c r="N54" s="25"/>
      <c r="O54" s="25"/>
      <c r="P54" s="25"/>
      <c r="Q54" s="25"/>
      <c r="R54" s="31">
        <f t="shared" si="1"/>
        <v>0</v>
      </c>
      <c r="S54" s="7" t="s">
        <v>790</v>
      </c>
      <c r="T54" s="7" t="s">
        <v>791</v>
      </c>
      <c r="U54" s="7" t="s">
        <v>836</v>
      </c>
      <c r="V54" s="24"/>
      <c r="W54" s="25"/>
      <c r="X54" s="25">
        <v>1</v>
      </c>
      <c r="Y54" s="25"/>
      <c r="Z54" s="25"/>
      <c r="AA54" s="49">
        <f t="shared" si="2"/>
        <v>1</v>
      </c>
      <c r="AB54" s="11"/>
      <c r="AC54" s="11"/>
      <c r="AD54" s="11"/>
      <c r="AE54" s="11"/>
      <c r="AF54" s="11"/>
      <c r="AG54" s="63">
        <f t="shared" si="3"/>
        <v>2</v>
      </c>
      <c r="AH54" s="59">
        <f t="shared" si="4"/>
        <v>0</v>
      </c>
      <c r="AI54" s="69">
        <f t="shared" si="5"/>
        <v>1</v>
      </c>
      <c r="AJ54" s="11"/>
      <c r="AK54" s="11"/>
      <c r="AL54" s="11"/>
      <c r="AM54" s="11"/>
      <c r="AN54" s="11"/>
      <c r="AO54" s="11"/>
      <c r="AP54" s="11"/>
    </row>
    <row r="55" spans="1:42" s="11" customFormat="1" ht="27" customHeight="1" x14ac:dyDescent="0.2">
      <c r="A55" s="7" t="s">
        <v>51</v>
      </c>
      <c r="B55" s="7" t="s">
        <v>237</v>
      </c>
      <c r="C55" s="8" t="s">
        <v>656</v>
      </c>
      <c r="D55" s="24"/>
      <c r="E55" s="25"/>
      <c r="F55" s="25"/>
      <c r="G55" s="25"/>
      <c r="H55" s="25">
        <v>1</v>
      </c>
      <c r="I55" s="26">
        <f t="shared" si="0"/>
        <v>0.5</v>
      </c>
      <c r="J55" s="7" t="s">
        <v>51</v>
      </c>
      <c r="K55" s="7" t="s">
        <v>237</v>
      </c>
      <c r="L55" s="7" t="s">
        <v>888</v>
      </c>
      <c r="M55" s="24"/>
      <c r="N55" s="25"/>
      <c r="O55" s="25"/>
      <c r="P55" s="25">
        <v>2</v>
      </c>
      <c r="Q55" s="25"/>
      <c r="R55" s="31">
        <f t="shared" si="1"/>
        <v>2</v>
      </c>
      <c r="S55" s="7" t="s">
        <v>51</v>
      </c>
      <c r="T55" s="7" t="s">
        <v>237</v>
      </c>
      <c r="U55" s="7" t="s">
        <v>476</v>
      </c>
      <c r="V55" s="24"/>
      <c r="W55" s="25"/>
      <c r="X55" s="25"/>
      <c r="Y55" s="25">
        <v>1</v>
      </c>
      <c r="Z55" s="25"/>
      <c r="AA55" s="49">
        <f t="shared" si="2"/>
        <v>1</v>
      </c>
      <c r="AG55" s="63">
        <f t="shared" si="3"/>
        <v>0</v>
      </c>
      <c r="AH55" s="59">
        <f>SUM(N55:P55)</f>
        <v>2</v>
      </c>
      <c r="AI55" s="69">
        <f t="shared" si="5"/>
        <v>1</v>
      </c>
    </row>
    <row r="56" spans="1:42" s="11" customFormat="1" ht="27" customHeight="1" x14ac:dyDescent="0.2">
      <c r="A56" s="7" t="s">
        <v>52</v>
      </c>
      <c r="B56" s="7" t="s">
        <v>238</v>
      </c>
      <c r="C56" s="8" t="s">
        <v>657</v>
      </c>
      <c r="D56" s="24"/>
      <c r="E56" s="25"/>
      <c r="F56" s="25"/>
      <c r="G56" s="25"/>
      <c r="H56" s="25"/>
      <c r="I56" s="26">
        <f t="shared" si="0"/>
        <v>0</v>
      </c>
      <c r="J56" s="7" t="s">
        <v>52</v>
      </c>
      <c r="K56" s="7" t="s">
        <v>238</v>
      </c>
      <c r="L56" s="7" t="s">
        <v>390</v>
      </c>
      <c r="M56" s="24"/>
      <c r="N56" s="25"/>
      <c r="O56" s="25"/>
      <c r="P56" s="25"/>
      <c r="Q56" s="25"/>
      <c r="R56" s="31">
        <f t="shared" si="1"/>
        <v>0</v>
      </c>
      <c r="S56" s="7" t="s">
        <v>52</v>
      </c>
      <c r="T56" s="7" t="s">
        <v>238</v>
      </c>
      <c r="U56" s="7" t="s">
        <v>477</v>
      </c>
      <c r="V56" s="24"/>
      <c r="W56" s="25"/>
      <c r="X56" s="25"/>
      <c r="Y56" s="25"/>
      <c r="Z56" s="25"/>
      <c r="AA56" s="49">
        <f t="shared" si="2"/>
        <v>0</v>
      </c>
      <c r="AG56" s="63">
        <f t="shared" si="3"/>
        <v>0</v>
      </c>
      <c r="AH56" s="59">
        <f t="shared" si="4"/>
        <v>0</v>
      </c>
      <c r="AI56" s="69">
        <f t="shared" si="5"/>
        <v>0</v>
      </c>
    </row>
    <row r="57" spans="1:42" s="11" customFormat="1" ht="27" customHeight="1" x14ac:dyDescent="0.2">
      <c r="A57" s="7" t="s">
        <v>53</v>
      </c>
      <c r="B57" s="7" t="s">
        <v>239</v>
      </c>
      <c r="C57" s="8" t="s">
        <v>658</v>
      </c>
      <c r="D57" s="24"/>
      <c r="E57" s="25"/>
      <c r="F57" s="25">
        <v>2</v>
      </c>
      <c r="G57" s="25"/>
      <c r="H57" s="25"/>
      <c r="I57" s="26">
        <f t="shared" si="0"/>
        <v>2</v>
      </c>
      <c r="J57" s="7" t="s">
        <v>53</v>
      </c>
      <c r="K57" s="7" t="s">
        <v>239</v>
      </c>
      <c r="L57" s="7" t="s">
        <v>889</v>
      </c>
      <c r="M57" s="24">
        <v>1</v>
      </c>
      <c r="N57" s="25"/>
      <c r="O57" s="25"/>
      <c r="P57" s="25"/>
      <c r="Q57" s="25"/>
      <c r="R57" s="31">
        <f t="shared" si="1"/>
        <v>1</v>
      </c>
      <c r="S57" s="7" t="s">
        <v>53</v>
      </c>
      <c r="T57" s="7" t="s">
        <v>239</v>
      </c>
      <c r="U57" s="7" t="s">
        <v>478</v>
      </c>
      <c r="V57" s="24"/>
      <c r="W57" s="25"/>
      <c r="X57" s="25"/>
      <c r="Y57" s="25"/>
      <c r="Z57" s="25"/>
      <c r="AA57" s="49">
        <f t="shared" si="2"/>
        <v>0</v>
      </c>
      <c r="AG57" s="63">
        <f t="shared" si="3"/>
        <v>2</v>
      </c>
      <c r="AH57" s="59">
        <f t="shared" si="4"/>
        <v>0</v>
      </c>
      <c r="AI57" s="69">
        <f t="shared" si="5"/>
        <v>0</v>
      </c>
    </row>
    <row r="58" spans="1:42" s="11" customFormat="1" ht="27" customHeight="1" x14ac:dyDescent="0.2">
      <c r="A58" s="7" t="s">
        <v>54</v>
      </c>
      <c r="B58" s="7" t="s">
        <v>240</v>
      </c>
      <c r="C58" s="8" t="s">
        <v>659</v>
      </c>
      <c r="D58" s="24"/>
      <c r="E58" s="25"/>
      <c r="F58" s="25">
        <v>1</v>
      </c>
      <c r="G58" s="25"/>
      <c r="H58" s="25"/>
      <c r="I58" s="26">
        <f t="shared" si="0"/>
        <v>1</v>
      </c>
      <c r="J58" s="7" t="s">
        <v>54</v>
      </c>
      <c r="K58" s="7" t="s">
        <v>240</v>
      </c>
      <c r="L58" s="7" t="s">
        <v>391</v>
      </c>
      <c r="M58" s="24"/>
      <c r="N58" s="25"/>
      <c r="O58" s="25">
        <v>1</v>
      </c>
      <c r="P58" s="25"/>
      <c r="Q58" s="25"/>
      <c r="R58" s="31">
        <f t="shared" si="1"/>
        <v>1</v>
      </c>
      <c r="S58" s="7" t="s">
        <v>54</v>
      </c>
      <c r="T58" s="7" t="s">
        <v>240</v>
      </c>
      <c r="U58" s="7" t="s">
        <v>479</v>
      </c>
      <c r="V58" s="24"/>
      <c r="W58" s="25"/>
      <c r="X58" s="25">
        <v>1</v>
      </c>
      <c r="Y58" s="25"/>
      <c r="Z58" s="25"/>
      <c r="AA58" s="49">
        <f t="shared" si="2"/>
        <v>1</v>
      </c>
      <c r="AG58" s="63">
        <f t="shared" si="3"/>
        <v>1</v>
      </c>
      <c r="AH58" s="59">
        <f t="shared" si="4"/>
        <v>1</v>
      </c>
      <c r="AI58" s="69">
        <f t="shared" si="5"/>
        <v>1</v>
      </c>
    </row>
    <row r="59" spans="1:42" s="11" customFormat="1" ht="27" customHeight="1" x14ac:dyDescent="0.2">
      <c r="A59" s="7" t="s">
        <v>55</v>
      </c>
      <c r="B59" s="7" t="s">
        <v>241</v>
      </c>
      <c r="C59" s="8" t="s">
        <v>660</v>
      </c>
      <c r="D59" s="24">
        <v>1</v>
      </c>
      <c r="E59" s="25"/>
      <c r="F59" s="25">
        <v>2</v>
      </c>
      <c r="G59" s="25"/>
      <c r="H59" s="25"/>
      <c r="I59" s="26">
        <f t="shared" si="0"/>
        <v>3</v>
      </c>
      <c r="J59" s="7" t="s">
        <v>55</v>
      </c>
      <c r="K59" s="7" t="s">
        <v>241</v>
      </c>
      <c r="L59" s="7" t="s">
        <v>890</v>
      </c>
      <c r="M59" s="24"/>
      <c r="N59" s="25"/>
      <c r="O59" s="25">
        <v>1</v>
      </c>
      <c r="P59" s="25"/>
      <c r="Q59" s="25"/>
      <c r="R59" s="31">
        <f t="shared" si="1"/>
        <v>1</v>
      </c>
      <c r="S59" s="7" t="s">
        <v>55</v>
      </c>
      <c r="T59" s="7" t="s">
        <v>241</v>
      </c>
      <c r="U59" s="7" t="s">
        <v>480</v>
      </c>
      <c r="V59" s="24"/>
      <c r="W59" s="70"/>
      <c r="X59" s="25"/>
      <c r="Y59" s="25"/>
      <c r="Z59" s="25"/>
      <c r="AA59" s="49">
        <f t="shared" si="2"/>
        <v>0</v>
      </c>
      <c r="AG59" s="63">
        <f t="shared" si="3"/>
        <v>2</v>
      </c>
      <c r="AH59" s="59">
        <f t="shared" si="4"/>
        <v>1</v>
      </c>
      <c r="AI59" s="69">
        <f t="shared" si="5"/>
        <v>0</v>
      </c>
    </row>
    <row r="60" spans="1:42" s="11" customFormat="1" ht="27" customHeight="1" x14ac:dyDescent="0.2">
      <c r="A60" s="7" t="s">
        <v>56</v>
      </c>
      <c r="B60" s="7" t="s">
        <v>242</v>
      </c>
      <c r="C60" s="8" t="s">
        <v>661</v>
      </c>
      <c r="D60" s="24">
        <v>1</v>
      </c>
      <c r="E60" s="25"/>
      <c r="F60" s="25"/>
      <c r="G60" s="25"/>
      <c r="H60" s="25"/>
      <c r="I60" s="26">
        <f t="shared" si="0"/>
        <v>1</v>
      </c>
      <c r="J60" s="7" t="s">
        <v>56</v>
      </c>
      <c r="K60" s="7" t="s">
        <v>242</v>
      </c>
      <c r="L60" s="7" t="s">
        <v>891</v>
      </c>
      <c r="M60" s="24"/>
      <c r="N60" s="25"/>
      <c r="O60" s="25"/>
      <c r="P60" s="25"/>
      <c r="Q60" s="25"/>
      <c r="R60" s="31">
        <f t="shared" si="1"/>
        <v>0</v>
      </c>
      <c r="S60" s="7" t="s">
        <v>56</v>
      </c>
      <c r="T60" s="7" t="s">
        <v>242</v>
      </c>
      <c r="U60" s="7" t="s">
        <v>481</v>
      </c>
      <c r="V60" s="24"/>
      <c r="W60" s="25"/>
      <c r="X60" s="25">
        <v>2</v>
      </c>
      <c r="Y60" s="25"/>
      <c r="Z60" s="25"/>
      <c r="AA60" s="49">
        <f t="shared" si="2"/>
        <v>2</v>
      </c>
      <c r="AG60" s="63">
        <f t="shared" si="3"/>
        <v>0</v>
      </c>
      <c r="AH60" s="59">
        <f t="shared" si="4"/>
        <v>0</v>
      </c>
      <c r="AI60" s="69">
        <f>SUM(W60:Y60)</f>
        <v>2</v>
      </c>
    </row>
    <row r="61" spans="1:42" s="12" customFormat="1" ht="27" customHeight="1" x14ac:dyDescent="0.2">
      <c r="A61" s="7" t="s">
        <v>792</v>
      </c>
      <c r="B61" s="7" t="s">
        <v>793</v>
      </c>
      <c r="C61" s="8" t="s">
        <v>823</v>
      </c>
      <c r="D61" s="24"/>
      <c r="E61" s="25"/>
      <c r="F61" s="25">
        <v>2</v>
      </c>
      <c r="G61" s="25"/>
      <c r="H61" s="25"/>
      <c r="I61" s="26">
        <f t="shared" si="0"/>
        <v>2</v>
      </c>
      <c r="J61" s="7" t="s">
        <v>792</v>
      </c>
      <c r="K61" s="7" t="s">
        <v>793</v>
      </c>
      <c r="L61" s="7" t="s">
        <v>892</v>
      </c>
      <c r="M61" s="24"/>
      <c r="N61" s="25"/>
      <c r="O61" s="25">
        <v>2</v>
      </c>
      <c r="P61" s="25"/>
      <c r="Q61" s="25"/>
      <c r="R61" s="31">
        <f t="shared" si="1"/>
        <v>2</v>
      </c>
      <c r="S61" s="7" t="s">
        <v>792</v>
      </c>
      <c r="T61" s="7" t="s">
        <v>793</v>
      </c>
      <c r="U61" s="7" t="s">
        <v>837</v>
      </c>
      <c r="V61" s="24"/>
      <c r="W61" s="25"/>
      <c r="X61" s="25"/>
      <c r="Y61" s="25"/>
      <c r="Z61" s="25"/>
      <c r="AA61" s="49">
        <f t="shared" si="2"/>
        <v>0</v>
      </c>
      <c r="AB61" s="11"/>
      <c r="AC61" s="11"/>
      <c r="AD61" s="11"/>
      <c r="AE61" s="11"/>
      <c r="AF61" s="11"/>
      <c r="AG61" s="63">
        <f t="shared" si="3"/>
        <v>2</v>
      </c>
      <c r="AH61" s="59">
        <f t="shared" si="4"/>
        <v>2</v>
      </c>
      <c r="AI61" s="69">
        <f t="shared" si="5"/>
        <v>0</v>
      </c>
      <c r="AJ61" s="11"/>
      <c r="AK61" s="11"/>
      <c r="AL61" s="11"/>
      <c r="AM61" s="11"/>
      <c r="AN61" s="11"/>
      <c r="AO61" s="11"/>
      <c r="AP61" s="11"/>
    </row>
    <row r="62" spans="1:42" s="11" customFormat="1" ht="27" customHeight="1" x14ac:dyDescent="0.2">
      <c r="A62" s="7" t="s">
        <v>57</v>
      </c>
      <c r="B62" s="7" t="s">
        <v>243</v>
      </c>
      <c r="C62" s="8" t="s">
        <v>662</v>
      </c>
      <c r="D62" s="24"/>
      <c r="E62" s="25"/>
      <c r="F62" s="25">
        <v>1</v>
      </c>
      <c r="G62" s="25"/>
      <c r="H62" s="25"/>
      <c r="I62" s="26">
        <f t="shared" si="0"/>
        <v>1</v>
      </c>
      <c r="J62" s="7" t="s">
        <v>57</v>
      </c>
      <c r="K62" s="7" t="s">
        <v>243</v>
      </c>
      <c r="L62" s="7" t="s">
        <v>893</v>
      </c>
      <c r="M62" s="24"/>
      <c r="N62" s="25"/>
      <c r="O62" s="25">
        <v>2</v>
      </c>
      <c r="P62" s="25"/>
      <c r="Q62" s="25"/>
      <c r="R62" s="31">
        <f t="shared" si="1"/>
        <v>2</v>
      </c>
      <c r="S62" s="7" t="s">
        <v>57</v>
      </c>
      <c r="T62" s="7" t="s">
        <v>243</v>
      </c>
      <c r="U62" s="7" t="s">
        <v>482</v>
      </c>
      <c r="V62" s="24"/>
      <c r="W62" s="25"/>
      <c r="X62" s="25">
        <v>2</v>
      </c>
      <c r="Y62" s="25"/>
      <c r="Z62" s="25"/>
      <c r="AA62" s="49">
        <f t="shared" si="2"/>
        <v>2</v>
      </c>
      <c r="AG62" s="63">
        <f t="shared" si="3"/>
        <v>1</v>
      </c>
      <c r="AH62" s="59">
        <f t="shared" si="4"/>
        <v>2</v>
      </c>
      <c r="AI62" s="69">
        <f t="shared" si="5"/>
        <v>2</v>
      </c>
    </row>
    <row r="63" spans="1:42" s="11" customFormat="1" ht="27" customHeight="1" x14ac:dyDescent="0.2">
      <c r="A63" s="7" t="s">
        <v>58</v>
      </c>
      <c r="B63" s="7" t="s">
        <v>244</v>
      </c>
      <c r="C63" s="8" t="s">
        <v>663</v>
      </c>
      <c r="D63" s="24"/>
      <c r="E63" s="25"/>
      <c r="F63" s="25"/>
      <c r="G63" s="25"/>
      <c r="H63" s="25"/>
      <c r="I63" s="26">
        <f t="shared" si="0"/>
        <v>0</v>
      </c>
      <c r="J63" s="7" t="s">
        <v>58</v>
      </c>
      <c r="K63" s="7" t="s">
        <v>244</v>
      </c>
      <c r="L63" s="7" t="s">
        <v>392</v>
      </c>
      <c r="M63" s="24">
        <v>1</v>
      </c>
      <c r="N63" s="25"/>
      <c r="O63" s="25"/>
      <c r="P63" s="25"/>
      <c r="Q63" s="25">
        <v>2</v>
      </c>
      <c r="R63" s="31">
        <f t="shared" si="1"/>
        <v>2</v>
      </c>
      <c r="S63" s="7" t="s">
        <v>58</v>
      </c>
      <c r="T63" s="7" t="s">
        <v>244</v>
      </c>
      <c r="U63" s="7" t="s">
        <v>483</v>
      </c>
      <c r="V63" s="24"/>
      <c r="W63" s="25">
        <v>2</v>
      </c>
      <c r="X63" s="25"/>
      <c r="Y63" s="25"/>
      <c r="Z63" s="25"/>
      <c r="AA63" s="49">
        <f t="shared" si="2"/>
        <v>2</v>
      </c>
      <c r="AG63" s="63">
        <f t="shared" si="3"/>
        <v>0</v>
      </c>
      <c r="AH63" s="59">
        <f t="shared" si="4"/>
        <v>0</v>
      </c>
      <c r="AI63" s="69">
        <f t="shared" si="5"/>
        <v>2</v>
      </c>
    </row>
    <row r="64" spans="1:42" s="11" customFormat="1" ht="27" customHeight="1" x14ac:dyDescent="0.2">
      <c r="A64" s="7" t="s">
        <v>59</v>
      </c>
      <c r="B64" s="7" t="s">
        <v>245</v>
      </c>
      <c r="C64" s="8" t="s">
        <v>664</v>
      </c>
      <c r="D64" s="24">
        <v>1</v>
      </c>
      <c r="E64" s="25"/>
      <c r="F64" s="25"/>
      <c r="G64" s="25"/>
      <c r="H64" s="25"/>
      <c r="I64" s="26">
        <f t="shared" si="0"/>
        <v>1</v>
      </c>
      <c r="J64" s="7" t="s">
        <v>59</v>
      </c>
      <c r="K64" s="7" t="s">
        <v>245</v>
      </c>
      <c r="L64" s="7" t="s">
        <v>894</v>
      </c>
      <c r="M64" s="24">
        <v>1</v>
      </c>
      <c r="N64" s="25"/>
      <c r="O64" s="25"/>
      <c r="P64" s="25"/>
      <c r="Q64" s="25">
        <v>2</v>
      </c>
      <c r="R64" s="31">
        <f t="shared" si="1"/>
        <v>2</v>
      </c>
      <c r="S64" s="7" t="s">
        <v>59</v>
      </c>
      <c r="T64" s="7" t="s">
        <v>245</v>
      </c>
      <c r="U64" s="7" t="s">
        <v>484</v>
      </c>
      <c r="V64" s="24"/>
      <c r="W64" s="25"/>
      <c r="X64" s="25"/>
      <c r="Y64" s="25"/>
      <c r="Z64" s="25">
        <v>2</v>
      </c>
      <c r="AA64" s="49">
        <f t="shared" si="2"/>
        <v>1</v>
      </c>
      <c r="AG64" s="63">
        <f t="shared" si="3"/>
        <v>0</v>
      </c>
      <c r="AH64" s="59">
        <f t="shared" si="4"/>
        <v>0</v>
      </c>
      <c r="AI64" s="69">
        <f t="shared" si="5"/>
        <v>0</v>
      </c>
    </row>
    <row r="65" spans="1:42" s="11" customFormat="1" ht="27" customHeight="1" x14ac:dyDescent="0.2">
      <c r="A65" s="7" t="s">
        <v>60</v>
      </c>
      <c r="B65" s="7" t="s">
        <v>246</v>
      </c>
      <c r="C65" s="9" t="s">
        <v>665</v>
      </c>
      <c r="D65" s="27"/>
      <c r="E65" s="25"/>
      <c r="F65" s="25"/>
      <c r="G65" s="25"/>
      <c r="H65" s="25"/>
      <c r="I65" s="26">
        <f t="shared" si="0"/>
        <v>0</v>
      </c>
      <c r="J65" s="7" t="s">
        <v>60</v>
      </c>
      <c r="K65" s="7" t="s">
        <v>246</v>
      </c>
      <c r="L65" s="7" t="s">
        <v>895</v>
      </c>
      <c r="M65" s="27"/>
      <c r="N65" s="25"/>
      <c r="O65" s="25"/>
      <c r="P65" s="25">
        <v>1</v>
      </c>
      <c r="Q65" s="25"/>
      <c r="R65" s="31">
        <f t="shared" si="1"/>
        <v>1</v>
      </c>
      <c r="S65" s="7" t="s">
        <v>60</v>
      </c>
      <c r="T65" s="7" t="s">
        <v>246</v>
      </c>
      <c r="U65" s="7" t="s">
        <v>485</v>
      </c>
      <c r="V65" s="27"/>
      <c r="W65" s="25"/>
      <c r="X65" s="25">
        <v>2</v>
      </c>
      <c r="Y65" s="25"/>
      <c r="Z65" s="25"/>
      <c r="AA65" s="49">
        <f t="shared" si="2"/>
        <v>2</v>
      </c>
      <c r="AG65" s="63">
        <f t="shared" si="3"/>
        <v>0</v>
      </c>
      <c r="AH65" s="59">
        <f t="shared" si="4"/>
        <v>1</v>
      </c>
      <c r="AI65" s="69">
        <f t="shared" si="5"/>
        <v>2</v>
      </c>
    </row>
    <row r="66" spans="1:42" s="12" customFormat="1" ht="27" customHeight="1" x14ac:dyDescent="0.2">
      <c r="A66" s="7" t="s">
        <v>794</v>
      </c>
      <c r="B66" s="7" t="s">
        <v>795</v>
      </c>
      <c r="C66" s="8" t="s">
        <v>824</v>
      </c>
      <c r="D66" s="24"/>
      <c r="E66" s="25"/>
      <c r="F66" s="25"/>
      <c r="G66" s="25">
        <v>1</v>
      </c>
      <c r="H66" s="25"/>
      <c r="I66" s="26">
        <f t="shared" si="0"/>
        <v>1</v>
      </c>
      <c r="J66" s="7" t="s">
        <v>794</v>
      </c>
      <c r="K66" s="7" t="s">
        <v>795</v>
      </c>
      <c r="L66" s="7" t="s">
        <v>896</v>
      </c>
      <c r="M66" s="24"/>
      <c r="N66" s="25"/>
      <c r="O66" s="25"/>
      <c r="P66" s="25">
        <v>1</v>
      </c>
      <c r="Q66" s="25"/>
      <c r="R66" s="31">
        <f t="shared" si="1"/>
        <v>1</v>
      </c>
      <c r="S66" s="7" t="s">
        <v>794</v>
      </c>
      <c r="T66" s="7" t="s">
        <v>795</v>
      </c>
      <c r="U66" s="7" t="s">
        <v>838</v>
      </c>
      <c r="V66" s="24"/>
      <c r="W66" s="25"/>
      <c r="X66" s="25">
        <v>1</v>
      </c>
      <c r="Y66" s="25"/>
      <c r="Z66" s="25"/>
      <c r="AA66" s="49">
        <f t="shared" si="2"/>
        <v>1</v>
      </c>
      <c r="AB66" s="11"/>
      <c r="AC66" s="11"/>
      <c r="AD66" s="11"/>
      <c r="AE66" s="11"/>
      <c r="AF66" s="11"/>
      <c r="AG66" s="63">
        <f t="shared" si="3"/>
        <v>1</v>
      </c>
      <c r="AH66" s="59">
        <f t="shared" si="4"/>
        <v>1</v>
      </c>
      <c r="AI66" s="69">
        <f t="shared" si="5"/>
        <v>1</v>
      </c>
      <c r="AJ66" s="11"/>
      <c r="AK66" s="11"/>
      <c r="AL66" s="11"/>
      <c r="AM66" s="11"/>
      <c r="AN66" s="11"/>
      <c r="AO66" s="11"/>
      <c r="AP66" s="11"/>
    </row>
    <row r="67" spans="1:42" s="11" customFormat="1" ht="27" customHeight="1" x14ac:dyDescent="0.2">
      <c r="A67" s="7" t="s">
        <v>61</v>
      </c>
      <c r="B67" s="7" t="s">
        <v>247</v>
      </c>
      <c r="C67" s="8" t="s">
        <v>1010</v>
      </c>
      <c r="D67" s="24"/>
      <c r="E67" s="25"/>
      <c r="F67" s="25"/>
      <c r="G67" s="25"/>
      <c r="H67" s="25">
        <v>1</v>
      </c>
      <c r="I67" s="26">
        <f t="shared" ref="I67:I130" si="6">SUM(D67:G67)+(H67/2)</f>
        <v>0.5</v>
      </c>
      <c r="J67" s="7" t="s">
        <v>61</v>
      </c>
      <c r="K67" s="7" t="s">
        <v>247</v>
      </c>
      <c r="L67" s="7" t="s">
        <v>897</v>
      </c>
      <c r="M67" s="24">
        <v>1</v>
      </c>
      <c r="N67" s="25"/>
      <c r="O67" s="25"/>
      <c r="P67" s="25">
        <v>2</v>
      </c>
      <c r="Q67" s="25"/>
      <c r="R67" s="31">
        <f t="shared" ref="R67:R130" si="7">SUM(M67:P67)+(Q67/2)</f>
        <v>3</v>
      </c>
      <c r="S67" s="7" t="s">
        <v>61</v>
      </c>
      <c r="T67" s="7" t="s">
        <v>247</v>
      </c>
      <c r="U67" s="7" t="s">
        <v>486</v>
      </c>
      <c r="V67" s="24"/>
      <c r="W67" s="25"/>
      <c r="X67" s="25">
        <v>2</v>
      </c>
      <c r="Y67" s="25"/>
      <c r="Z67" s="25"/>
      <c r="AA67" s="49">
        <f t="shared" ref="AA67:AA130" si="8">SUM(V67:Y67)+(Z67/2)</f>
        <v>2</v>
      </c>
      <c r="AG67" s="63">
        <f t="shared" ref="AG67:AG130" si="9">SUM(E67:G67)</f>
        <v>0</v>
      </c>
      <c r="AH67" s="59">
        <f t="shared" ref="AH67:AH130" si="10">SUM(N67:P67)</f>
        <v>2</v>
      </c>
      <c r="AI67" s="69">
        <f t="shared" ref="AI67:AI130" si="11">SUM(W67:Y67)</f>
        <v>2</v>
      </c>
    </row>
    <row r="68" spans="1:42" s="11" customFormat="1" ht="27" customHeight="1" x14ac:dyDescent="0.2">
      <c r="A68" s="7" t="s">
        <v>62</v>
      </c>
      <c r="B68" s="7" t="s">
        <v>248</v>
      </c>
      <c r="C68" s="8" t="s">
        <v>1009</v>
      </c>
      <c r="D68" s="24"/>
      <c r="E68" s="25"/>
      <c r="F68" s="25"/>
      <c r="G68" s="25">
        <v>1</v>
      </c>
      <c r="H68" s="25"/>
      <c r="I68" s="26">
        <f t="shared" si="6"/>
        <v>1</v>
      </c>
      <c r="J68" s="7" t="s">
        <v>62</v>
      </c>
      <c r="K68" s="7" t="s">
        <v>248</v>
      </c>
      <c r="L68" s="7" t="s">
        <v>393</v>
      </c>
      <c r="M68" s="24"/>
      <c r="N68" s="25"/>
      <c r="O68" s="25"/>
      <c r="P68" s="25"/>
      <c r="Q68" s="25"/>
      <c r="R68" s="31">
        <f t="shared" si="7"/>
        <v>0</v>
      </c>
      <c r="S68" s="7" t="s">
        <v>62</v>
      </c>
      <c r="T68" s="7" t="s">
        <v>248</v>
      </c>
      <c r="U68" s="7" t="s">
        <v>487</v>
      </c>
      <c r="V68" s="24"/>
      <c r="W68" s="25"/>
      <c r="X68" s="25"/>
      <c r="Y68" s="25"/>
      <c r="Z68" s="25"/>
      <c r="AA68" s="49">
        <f t="shared" si="8"/>
        <v>0</v>
      </c>
      <c r="AG68" s="63">
        <f t="shared" si="9"/>
        <v>1</v>
      </c>
      <c r="AH68" s="59">
        <f t="shared" si="10"/>
        <v>0</v>
      </c>
      <c r="AI68" s="69">
        <f t="shared" si="11"/>
        <v>0</v>
      </c>
    </row>
    <row r="69" spans="1:42" s="11" customFormat="1" ht="27" customHeight="1" x14ac:dyDescent="0.2">
      <c r="A69" s="7" t="s">
        <v>63</v>
      </c>
      <c r="B69" s="7" t="s">
        <v>249</v>
      </c>
      <c r="C69" s="8" t="s">
        <v>1011</v>
      </c>
      <c r="D69" s="24">
        <v>1</v>
      </c>
      <c r="E69" s="25"/>
      <c r="F69" s="25">
        <v>2</v>
      </c>
      <c r="G69" s="25"/>
      <c r="H69" s="25"/>
      <c r="I69" s="26">
        <f t="shared" si="6"/>
        <v>3</v>
      </c>
      <c r="J69" s="7" t="s">
        <v>63</v>
      </c>
      <c r="K69" s="7" t="s">
        <v>249</v>
      </c>
      <c r="L69" s="7" t="s">
        <v>898</v>
      </c>
      <c r="M69" s="24"/>
      <c r="N69" s="25"/>
      <c r="O69" s="25"/>
      <c r="P69" s="25">
        <v>1</v>
      </c>
      <c r="Q69" s="25"/>
      <c r="R69" s="31">
        <f t="shared" si="7"/>
        <v>1</v>
      </c>
      <c r="S69" s="7" t="s">
        <v>63</v>
      </c>
      <c r="T69" s="7" t="s">
        <v>249</v>
      </c>
      <c r="U69" s="7" t="s">
        <v>488</v>
      </c>
      <c r="V69" s="24"/>
      <c r="W69" s="25"/>
      <c r="X69" s="25"/>
      <c r="Y69" s="25">
        <v>2</v>
      </c>
      <c r="Z69" s="25"/>
      <c r="AA69" s="49">
        <f t="shared" si="8"/>
        <v>2</v>
      </c>
      <c r="AG69" s="63">
        <f t="shared" si="9"/>
        <v>2</v>
      </c>
      <c r="AH69" s="59">
        <f t="shared" si="10"/>
        <v>1</v>
      </c>
      <c r="AI69" s="69">
        <f t="shared" si="11"/>
        <v>2</v>
      </c>
    </row>
    <row r="70" spans="1:42" s="11" customFormat="1" ht="27" customHeight="1" x14ac:dyDescent="0.2">
      <c r="A70" s="7" t="s">
        <v>64</v>
      </c>
      <c r="B70" s="7" t="s">
        <v>250</v>
      </c>
      <c r="C70" s="8" t="s">
        <v>666</v>
      </c>
      <c r="D70" s="24"/>
      <c r="E70" s="25"/>
      <c r="F70" s="25"/>
      <c r="G70" s="25"/>
      <c r="H70" s="25"/>
      <c r="I70" s="26">
        <f t="shared" si="6"/>
        <v>0</v>
      </c>
      <c r="J70" s="7" t="s">
        <v>64</v>
      </c>
      <c r="K70" s="7" t="s">
        <v>250</v>
      </c>
      <c r="L70" s="7" t="s">
        <v>394</v>
      </c>
      <c r="M70" s="24"/>
      <c r="N70" s="25"/>
      <c r="O70" s="25"/>
      <c r="P70" s="25"/>
      <c r="Q70" s="25"/>
      <c r="R70" s="31">
        <f t="shared" si="7"/>
        <v>0</v>
      </c>
      <c r="S70" s="7" t="s">
        <v>64</v>
      </c>
      <c r="T70" s="7" t="s">
        <v>250</v>
      </c>
      <c r="U70" s="7" t="s">
        <v>489</v>
      </c>
      <c r="V70" s="24"/>
      <c r="W70" s="25"/>
      <c r="X70" s="25"/>
      <c r="Y70" s="25">
        <v>2</v>
      </c>
      <c r="Z70" s="25"/>
      <c r="AA70" s="49">
        <f t="shared" si="8"/>
        <v>2</v>
      </c>
      <c r="AG70" s="63">
        <f t="shared" si="9"/>
        <v>0</v>
      </c>
      <c r="AH70" s="59">
        <f t="shared" si="10"/>
        <v>0</v>
      </c>
      <c r="AI70" s="69">
        <f t="shared" si="11"/>
        <v>2</v>
      </c>
    </row>
    <row r="71" spans="1:42" s="11" customFormat="1" ht="27" customHeight="1" x14ac:dyDescent="0.2">
      <c r="A71" s="7" t="s">
        <v>65</v>
      </c>
      <c r="B71" s="7" t="s">
        <v>251</v>
      </c>
      <c r="C71" s="9" t="s">
        <v>1012</v>
      </c>
      <c r="D71" s="27"/>
      <c r="E71" s="25"/>
      <c r="F71" s="25"/>
      <c r="G71" s="25">
        <v>1</v>
      </c>
      <c r="H71" s="25"/>
      <c r="I71" s="26">
        <f t="shared" si="6"/>
        <v>1</v>
      </c>
      <c r="J71" s="7" t="s">
        <v>65</v>
      </c>
      <c r="K71" s="7" t="s">
        <v>251</v>
      </c>
      <c r="L71" s="7" t="s">
        <v>899</v>
      </c>
      <c r="M71" s="27"/>
      <c r="N71" s="25"/>
      <c r="O71" s="25"/>
      <c r="P71" s="25"/>
      <c r="Q71" s="25">
        <v>1</v>
      </c>
      <c r="R71" s="31">
        <f t="shared" si="7"/>
        <v>0.5</v>
      </c>
      <c r="S71" s="7" t="s">
        <v>65</v>
      </c>
      <c r="T71" s="7" t="s">
        <v>251</v>
      </c>
      <c r="U71" s="7" t="s">
        <v>490</v>
      </c>
      <c r="V71" s="27">
        <v>2</v>
      </c>
      <c r="W71" s="25"/>
      <c r="X71" s="25"/>
      <c r="Y71" s="25">
        <v>1</v>
      </c>
      <c r="Z71" s="25"/>
      <c r="AA71" s="49">
        <f t="shared" si="8"/>
        <v>3</v>
      </c>
      <c r="AG71" s="63">
        <f t="shared" si="9"/>
        <v>1</v>
      </c>
      <c r="AH71" s="59">
        <f t="shared" si="10"/>
        <v>0</v>
      </c>
      <c r="AI71" s="69">
        <f t="shared" si="11"/>
        <v>1</v>
      </c>
    </row>
    <row r="72" spans="1:42" s="11" customFormat="1" ht="27" customHeight="1" x14ac:dyDescent="0.2">
      <c r="A72" s="7" t="s">
        <v>66</v>
      </c>
      <c r="B72" s="7" t="s">
        <v>252</v>
      </c>
      <c r="C72" s="8" t="s">
        <v>667</v>
      </c>
      <c r="D72" s="24">
        <v>2</v>
      </c>
      <c r="E72" s="25"/>
      <c r="F72" s="25">
        <v>2</v>
      </c>
      <c r="G72" s="25"/>
      <c r="H72" s="25"/>
      <c r="I72" s="26">
        <f t="shared" si="6"/>
        <v>4</v>
      </c>
      <c r="J72" s="7" t="s">
        <v>66</v>
      </c>
      <c r="K72" s="7" t="s">
        <v>252</v>
      </c>
      <c r="L72" s="7" t="s">
        <v>900</v>
      </c>
      <c r="M72" s="24"/>
      <c r="N72" s="25"/>
      <c r="O72" s="25">
        <v>2</v>
      </c>
      <c r="P72" s="25"/>
      <c r="Q72" s="25"/>
      <c r="R72" s="31">
        <f t="shared" si="7"/>
        <v>2</v>
      </c>
      <c r="S72" s="7" t="s">
        <v>66</v>
      </c>
      <c r="T72" s="7" t="s">
        <v>252</v>
      </c>
      <c r="U72" s="7" t="s">
        <v>491</v>
      </c>
      <c r="V72" s="24">
        <v>1</v>
      </c>
      <c r="W72" s="25"/>
      <c r="X72" s="25">
        <v>2</v>
      </c>
      <c r="Y72" s="25"/>
      <c r="Z72" s="25"/>
      <c r="AA72" s="49">
        <f t="shared" si="8"/>
        <v>3</v>
      </c>
      <c r="AG72" s="63">
        <f t="shared" si="9"/>
        <v>2</v>
      </c>
      <c r="AH72" s="59">
        <f t="shared" si="10"/>
        <v>2</v>
      </c>
      <c r="AI72" s="69">
        <f t="shared" si="11"/>
        <v>2</v>
      </c>
    </row>
    <row r="73" spans="1:42" s="11" customFormat="1" ht="27" customHeight="1" x14ac:dyDescent="0.2">
      <c r="A73" s="7" t="s">
        <v>67</v>
      </c>
      <c r="B73" s="7" t="s">
        <v>253</v>
      </c>
      <c r="C73" s="8" t="s">
        <v>668</v>
      </c>
      <c r="D73" s="24"/>
      <c r="E73" s="25"/>
      <c r="F73" s="25"/>
      <c r="G73" s="25">
        <v>1</v>
      </c>
      <c r="H73" s="25"/>
      <c r="I73" s="26">
        <f t="shared" si="6"/>
        <v>1</v>
      </c>
      <c r="J73" s="7" t="s">
        <v>67</v>
      </c>
      <c r="K73" s="7" t="s">
        <v>253</v>
      </c>
      <c r="L73" s="7" t="s">
        <v>901</v>
      </c>
      <c r="M73" s="24"/>
      <c r="N73" s="25"/>
      <c r="O73" s="25"/>
      <c r="P73" s="25"/>
      <c r="Q73" s="25"/>
      <c r="R73" s="31">
        <f t="shared" si="7"/>
        <v>0</v>
      </c>
      <c r="S73" s="7" t="s">
        <v>67</v>
      </c>
      <c r="T73" s="7" t="s">
        <v>253</v>
      </c>
      <c r="U73" s="7" t="s">
        <v>492</v>
      </c>
      <c r="V73" s="24"/>
      <c r="W73" s="25"/>
      <c r="X73" s="25"/>
      <c r="Y73" s="25"/>
      <c r="Z73" s="25"/>
      <c r="AA73" s="49">
        <f t="shared" si="8"/>
        <v>0</v>
      </c>
      <c r="AG73" s="63">
        <f t="shared" si="9"/>
        <v>1</v>
      </c>
      <c r="AH73" s="59">
        <f t="shared" si="10"/>
        <v>0</v>
      </c>
      <c r="AI73" s="69">
        <f t="shared" si="11"/>
        <v>0</v>
      </c>
    </row>
    <row r="74" spans="1:42" s="11" customFormat="1" ht="27" customHeight="1" x14ac:dyDescent="0.2">
      <c r="A74" s="7" t="s">
        <v>68</v>
      </c>
      <c r="B74" s="7" t="s">
        <v>254</v>
      </c>
      <c r="C74" s="8" t="s">
        <v>669</v>
      </c>
      <c r="D74" s="24"/>
      <c r="E74" s="25"/>
      <c r="F74" s="25">
        <v>1</v>
      </c>
      <c r="G74" s="25"/>
      <c r="H74" s="25"/>
      <c r="I74" s="26">
        <f t="shared" si="6"/>
        <v>1</v>
      </c>
      <c r="J74" s="7" t="s">
        <v>68</v>
      </c>
      <c r="K74" s="7" t="s">
        <v>254</v>
      </c>
      <c r="L74" s="7" t="s">
        <v>902</v>
      </c>
      <c r="M74" s="24"/>
      <c r="N74" s="25"/>
      <c r="O74" s="25"/>
      <c r="P74" s="25">
        <v>1</v>
      </c>
      <c r="Q74" s="25"/>
      <c r="R74" s="31">
        <f t="shared" si="7"/>
        <v>1</v>
      </c>
      <c r="S74" s="7" t="s">
        <v>68</v>
      </c>
      <c r="T74" s="7" t="s">
        <v>254</v>
      </c>
      <c r="U74" s="7" t="s">
        <v>493</v>
      </c>
      <c r="V74" s="24"/>
      <c r="W74" s="25"/>
      <c r="X74" s="25">
        <v>2</v>
      </c>
      <c r="Y74" s="25"/>
      <c r="Z74" s="25"/>
      <c r="AA74" s="49">
        <f t="shared" si="8"/>
        <v>2</v>
      </c>
      <c r="AG74" s="63">
        <f t="shared" si="9"/>
        <v>1</v>
      </c>
      <c r="AH74" s="59">
        <f t="shared" si="10"/>
        <v>1</v>
      </c>
      <c r="AI74" s="69">
        <f t="shared" si="11"/>
        <v>2</v>
      </c>
    </row>
    <row r="75" spans="1:42" s="11" customFormat="1" ht="27" customHeight="1" x14ac:dyDescent="0.2">
      <c r="A75" s="7" t="s">
        <v>69</v>
      </c>
      <c r="B75" s="7" t="s">
        <v>255</v>
      </c>
      <c r="C75" s="8" t="s">
        <v>670</v>
      </c>
      <c r="D75" s="24"/>
      <c r="E75" s="25"/>
      <c r="F75" s="25"/>
      <c r="G75" s="25"/>
      <c r="H75" s="25">
        <v>1</v>
      </c>
      <c r="I75" s="26">
        <f t="shared" si="6"/>
        <v>0.5</v>
      </c>
      <c r="J75" s="7" t="s">
        <v>69</v>
      </c>
      <c r="K75" s="7" t="s">
        <v>255</v>
      </c>
      <c r="L75" s="7" t="s">
        <v>903</v>
      </c>
      <c r="M75" s="24"/>
      <c r="N75" s="25"/>
      <c r="O75" s="25"/>
      <c r="P75" s="25"/>
      <c r="Q75" s="25">
        <v>1</v>
      </c>
      <c r="R75" s="31">
        <f t="shared" si="7"/>
        <v>0.5</v>
      </c>
      <c r="S75" s="7" t="s">
        <v>69</v>
      </c>
      <c r="T75" s="7" t="s">
        <v>255</v>
      </c>
      <c r="U75" s="7" t="s">
        <v>494</v>
      </c>
      <c r="V75" s="24"/>
      <c r="W75" s="25"/>
      <c r="X75" s="25"/>
      <c r="Y75" s="25"/>
      <c r="Z75" s="25">
        <v>1</v>
      </c>
      <c r="AA75" s="49">
        <f t="shared" si="8"/>
        <v>0.5</v>
      </c>
      <c r="AG75" s="63">
        <f t="shared" si="9"/>
        <v>0</v>
      </c>
      <c r="AH75" s="59">
        <f t="shared" si="10"/>
        <v>0</v>
      </c>
      <c r="AI75" s="69">
        <f t="shared" si="11"/>
        <v>0</v>
      </c>
    </row>
    <row r="76" spans="1:42" s="11" customFormat="1" ht="27" customHeight="1" x14ac:dyDescent="0.2">
      <c r="A76" s="7" t="s">
        <v>70</v>
      </c>
      <c r="B76" s="7" t="s">
        <v>256</v>
      </c>
      <c r="C76" s="8" t="s">
        <v>671</v>
      </c>
      <c r="D76" s="24">
        <v>2</v>
      </c>
      <c r="E76" s="25"/>
      <c r="F76" s="25"/>
      <c r="G76" s="25"/>
      <c r="H76" s="25"/>
      <c r="I76" s="26">
        <f t="shared" si="6"/>
        <v>2</v>
      </c>
      <c r="J76" s="7" t="s">
        <v>70</v>
      </c>
      <c r="K76" s="7" t="s">
        <v>256</v>
      </c>
      <c r="L76" s="7" t="s">
        <v>395</v>
      </c>
      <c r="M76" s="24"/>
      <c r="N76" s="25"/>
      <c r="O76" s="25"/>
      <c r="P76" s="25"/>
      <c r="Q76" s="25">
        <v>1</v>
      </c>
      <c r="R76" s="31">
        <f t="shared" si="7"/>
        <v>0.5</v>
      </c>
      <c r="S76" s="7" t="s">
        <v>70</v>
      </c>
      <c r="T76" s="7" t="s">
        <v>256</v>
      </c>
      <c r="U76" s="7" t="s">
        <v>495</v>
      </c>
      <c r="V76" s="24"/>
      <c r="W76" s="25"/>
      <c r="X76" s="25">
        <v>1</v>
      </c>
      <c r="Y76" s="25"/>
      <c r="Z76" s="25"/>
      <c r="AA76" s="49">
        <f t="shared" si="8"/>
        <v>1</v>
      </c>
      <c r="AG76" s="63">
        <f t="shared" si="9"/>
        <v>0</v>
      </c>
      <c r="AH76" s="59">
        <f t="shared" si="10"/>
        <v>0</v>
      </c>
      <c r="AI76" s="69">
        <f t="shared" si="11"/>
        <v>1</v>
      </c>
    </row>
    <row r="77" spans="1:42" s="11" customFormat="1" ht="27" customHeight="1" x14ac:dyDescent="0.2">
      <c r="A77" s="7" t="s">
        <v>71</v>
      </c>
      <c r="B77" s="7" t="s">
        <v>257</v>
      </c>
      <c r="C77" s="8" t="s">
        <v>672</v>
      </c>
      <c r="D77" s="24"/>
      <c r="E77" s="25"/>
      <c r="F77" s="25"/>
      <c r="G77" s="25">
        <v>1</v>
      </c>
      <c r="H77" s="25"/>
      <c r="I77" s="26">
        <f t="shared" si="6"/>
        <v>1</v>
      </c>
      <c r="J77" s="7" t="s">
        <v>71</v>
      </c>
      <c r="K77" s="7" t="s">
        <v>257</v>
      </c>
      <c r="L77" s="7" t="s">
        <v>904</v>
      </c>
      <c r="M77" s="24"/>
      <c r="N77" s="25"/>
      <c r="O77" s="25"/>
      <c r="P77" s="25"/>
      <c r="Q77" s="25">
        <v>1</v>
      </c>
      <c r="R77" s="31">
        <f t="shared" si="7"/>
        <v>0.5</v>
      </c>
      <c r="S77" s="7" t="s">
        <v>71</v>
      </c>
      <c r="T77" s="7" t="s">
        <v>257</v>
      </c>
      <c r="U77" s="7" t="s">
        <v>496</v>
      </c>
      <c r="V77" s="24"/>
      <c r="W77" s="25"/>
      <c r="X77" s="25"/>
      <c r="Y77" s="25">
        <v>2</v>
      </c>
      <c r="Z77" s="25"/>
      <c r="AA77" s="49">
        <f t="shared" si="8"/>
        <v>2</v>
      </c>
      <c r="AG77" s="63">
        <f t="shared" si="9"/>
        <v>1</v>
      </c>
      <c r="AH77" s="59">
        <f t="shared" si="10"/>
        <v>0</v>
      </c>
      <c r="AI77" s="69">
        <f t="shared" si="11"/>
        <v>2</v>
      </c>
    </row>
    <row r="78" spans="1:42" s="11" customFormat="1" ht="27" customHeight="1" x14ac:dyDescent="0.2">
      <c r="A78" s="7" t="s">
        <v>72</v>
      </c>
      <c r="B78" s="7" t="s">
        <v>258</v>
      </c>
      <c r="C78" s="8" t="s">
        <v>673</v>
      </c>
      <c r="D78" s="24"/>
      <c r="E78" s="25"/>
      <c r="F78" s="25"/>
      <c r="G78" s="25"/>
      <c r="H78" s="25"/>
      <c r="I78" s="26">
        <f t="shared" si="6"/>
        <v>0</v>
      </c>
      <c r="J78" s="7" t="s">
        <v>72</v>
      </c>
      <c r="K78" s="7" t="s">
        <v>258</v>
      </c>
      <c r="L78" s="7" t="s">
        <v>905</v>
      </c>
      <c r="M78" s="24">
        <v>1</v>
      </c>
      <c r="N78" s="25"/>
      <c r="O78" s="25"/>
      <c r="P78" s="25"/>
      <c r="Q78" s="25"/>
      <c r="R78" s="31">
        <f t="shared" si="7"/>
        <v>1</v>
      </c>
      <c r="S78" s="7" t="s">
        <v>72</v>
      </c>
      <c r="T78" s="7" t="s">
        <v>258</v>
      </c>
      <c r="U78" s="7" t="s">
        <v>497</v>
      </c>
      <c r="V78" s="24"/>
      <c r="W78" s="25"/>
      <c r="X78" s="25"/>
      <c r="Y78" s="25">
        <v>2</v>
      </c>
      <c r="Z78" s="25"/>
      <c r="AA78" s="49">
        <f t="shared" si="8"/>
        <v>2</v>
      </c>
      <c r="AG78" s="63">
        <f t="shared" si="9"/>
        <v>0</v>
      </c>
      <c r="AH78" s="59">
        <f t="shared" si="10"/>
        <v>0</v>
      </c>
      <c r="AI78" s="69">
        <f t="shared" si="11"/>
        <v>2</v>
      </c>
    </row>
    <row r="79" spans="1:42" s="11" customFormat="1" ht="27" customHeight="1" x14ac:dyDescent="0.2">
      <c r="A79" s="7" t="s">
        <v>73</v>
      </c>
      <c r="B79" s="7" t="s">
        <v>259</v>
      </c>
      <c r="C79" s="8" t="s">
        <v>674</v>
      </c>
      <c r="D79" s="24"/>
      <c r="E79" s="25"/>
      <c r="F79" s="25">
        <v>1</v>
      </c>
      <c r="G79" s="25"/>
      <c r="H79" s="25"/>
      <c r="I79" s="26">
        <f t="shared" si="6"/>
        <v>1</v>
      </c>
      <c r="J79" s="7" t="s">
        <v>73</v>
      </c>
      <c r="K79" s="7" t="s">
        <v>259</v>
      </c>
      <c r="L79" s="7" t="s">
        <v>906</v>
      </c>
      <c r="M79" s="24"/>
      <c r="N79" s="25"/>
      <c r="O79" s="25"/>
      <c r="P79" s="25"/>
      <c r="Q79" s="25"/>
      <c r="R79" s="31">
        <f t="shared" si="7"/>
        <v>0</v>
      </c>
      <c r="S79" s="7" t="s">
        <v>73</v>
      </c>
      <c r="T79" s="7" t="s">
        <v>259</v>
      </c>
      <c r="U79" s="7" t="s">
        <v>498</v>
      </c>
      <c r="V79" s="24">
        <v>1</v>
      </c>
      <c r="W79" s="25"/>
      <c r="X79" s="25"/>
      <c r="Y79" s="25">
        <v>1</v>
      </c>
      <c r="Z79" s="25"/>
      <c r="AA79" s="49">
        <f t="shared" si="8"/>
        <v>2</v>
      </c>
      <c r="AG79" s="63">
        <f t="shared" si="9"/>
        <v>1</v>
      </c>
      <c r="AH79" s="59">
        <f t="shared" si="10"/>
        <v>0</v>
      </c>
      <c r="AI79" s="69">
        <f t="shared" si="11"/>
        <v>1</v>
      </c>
    </row>
    <row r="80" spans="1:42" s="11" customFormat="1" ht="27" customHeight="1" x14ac:dyDescent="0.2">
      <c r="A80" s="7" t="s">
        <v>74</v>
      </c>
      <c r="B80" s="7" t="s">
        <v>260</v>
      </c>
      <c r="C80" s="9" t="s">
        <v>1013</v>
      </c>
      <c r="D80" s="27"/>
      <c r="E80" s="25"/>
      <c r="F80" s="25">
        <v>1</v>
      </c>
      <c r="G80" s="25"/>
      <c r="H80" s="25"/>
      <c r="I80" s="26">
        <f t="shared" si="6"/>
        <v>1</v>
      </c>
      <c r="J80" s="7" t="s">
        <v>74</v>
      </c>
      <c r="K80" s="7" t="s">
        <v>260</v>
      </c>
      <c r="L80" s="7" t="s">
        <v>907</v>
      </c>
      <c r="M80" s="27"/>
      <c r="N80" s="25"/>
      <c r="O80" s="25"/>
      <c r="P80" s="25"/>
      <c r="Q80" s="25">
        <v>1</v>
      </c>
      <c r="R80" s="31">
        <f t="shared" si="7"/>
        <v>0.5</v>
      </c>
      <c r="S80" s="7" t="s">
        <v>74</v>
      </c>
      <c r="T80" s="7" t="s">
        <v>260</v>
      </c>
      <c r="U80" s="7" t="s">
        <v>499</v>
      </c>
      <c r="V80" s="27"/>
      <c r="W80" s="25"/>
      <c r="X80" s="25">
        <v>2</v>
      </c>
      <c r="Y80" s="25"/>
      <c r="Z80" s="25"/>
      <c r="AA80" s="49">
        <f t="shared" si="8"/>
        <v>2</v>
      </c>
      <c r="AG80" s="63">
        <f t="shared" si="9"/>
        <v>1</v>
      </c>
      <c r="AH80" s="59">
        <f t="shared" si="10"/>
        <v>0</v>
      </c>
      <c r="AI80" s="69">
        <f t="shared" si="11"/>
        <v>2</v>
      </c>
    </row>
    <row r="81" spans="1:35" s="11" customFormat="1" ht="27" customHeight="1" x14ac:dyDescent="0.2">
      <c r="A81" s="7" t="s">
        <v>75</v>
      </c>
      <c r="B81" s="7" t="s">
        <v>261</v>
      </c>
      <c r="C81" s="9" t="s">
        <v>675</v>
      </c>
      <c r="D81" s="27"/>
      <c r="E81" s="25">
        <v>1</v>
      </c>
      <c r="F81" s="25"/>
      <c r="G81" s="25"/>
      <c r="H81" s="25"/>
      <c r="I81" s="26">
        <f t="shared" si="6"/>
        <v>1</v>
      </c>
      <c r="J81" s="7" t="s">
        <v>75</v>
      </c>
      <c r="K81" s="7" t="s">
        <v>261</v>
      </c>
      <c r="L81" s="7" t="s">
        <v>908</v>
      </c>
      <c r="M81" s="27"/>
      <c r="N81" s="25"/>
      <c r="O81" s="25">
        <v>2</v>
      </c>
      <c r="P81" s="25"/>
      <c r="Q81" s="25"/>
      <c r="R81" s="31">
        <f t="shared" si="7"/>
        <v>2</v>
      </c>
      <c r="S81" s="7" t="s">
        <v>75</v>
      </c>
      <c r="T81" s="7" t="s">
        <v>261</v>
      </c>
      <c r="U81" s="7" t="s">
        <v>500</v>
      </c>
      <c r="V81" s="27"/>
      <c r="W81" s="25"/>
      <c r="X81" s="25"/>
      <c r="Y81" s="25"/>
      <c r="Z81" s="25">
        <v>2</v>
      </c>
      <c r="AA81" s="49">
        <f t="shared" si="8"/>
        <v>1</v>
      </c>
      <c r="AG81" s="63">
        <f t="shared" si="9"/>
        <v>1</v>
      </c>
      <c r="AH81" s="59">
        <f t="shared" si="10"/>
        <v>2</v>
      </c>
      <c r="AI81" s="69">
        <f t="shared" si="11"/>
        <v>0</v>
      </c>
    </row>
    <row r="82" spans="1:35" s="11" customFormat="1" ht="27" customHeight="1" x14ac:dyDescent="0.2">
      <c r="A82" s="7" t="s">
        <v>76</v>
      </c>
      <c r="B82" s="7" t="s">
        <v>262</v>
      </c>
      <c r="C82" s="8" t="s">
        <v>676</v>
      </c>
      <c r="D82" s="24">
        <v>2</v>
      </c>
      <c r="E82" s="25"/>
      <c r="F82" s="25">
        <v>2</v>
      </c>
      <c r="G82" s="25"/>
      <c r="H82" s="25"/>
      <c r="I82" s="26">
        <f t="shared" si="6"/>
        <v>4</v>
      </c>
      <c r="J82" s="7" t="s">
        <v>76</v>
      </c>
      <c r="K82" s="7" t="s">
        <v>262</v>
      </c>
      <c r="L82" s="7" t="s">
        <v>909</v>
      </c>
      <c r="M82" s="24"/>
      <c r="N82" s="25"/>
      <c r="O82" s="25"/>
      <c r="P82" s="25"/>
      <c r="Q82" s="25">
        <v>2</v>
      </c>
      <c r="R82" s="31">
        <f t="shared" si="7"/>
        <v>1</v>
      </c>
      <c r="S82" s="7" t="s">
        <v>76</v>
      </c>
      <c r="T82" s="7" t="s">
        <v>262</v>
      </c>
      <c r="U82" s="7" t="s">
        <v>501</v>
      </c>
      <c r="V82" s="24"/>
      <c r="W82" s="25"/>
      <c r="X82" s="25"/>
      <c r="Y82" s="25">
        <v>2</v>
      </c>
      <c r="Z82" s="25"/>
      <c r="AA82" s="49">
        <f t="shared" si="8"/>
        <v>2</v>
      </c>
      <c r="AG82" s="63">
        <f t="shared" si="9"/>
        <v>2</v>
      </c>
      <c r="AH82" s="59">
        <f t="shared" si="10"/>
        <v>0</v>
      </c>
      <c r="AI82" s="69">
        <f t="shared" si="11"/>
        <v>2</v>
      </c>
    </row>
    <row r="83" spans="1:35" s="11" customFormat="1" ht="27" customHeight="1" x14ac:dyDescent="0.2">
      <c r="A83" s="7" t="s">
        <v>77</v>
      </c>
      <c r="B83" s="7" t="s">
        <v>263</v>
      </c>
      <c r="C83" s="9" t="s">
        <v>677</v>
      </c>
      <c r="D83" s="27"/>
      <c r="E83" s="25"/>
      <c r="F83" s="25"/>
      <c r="G83" s="25"/>
      <c r="H83" s="25"/>
      <c r="I83" s="26">
        <f t="shared" si="6"/>
        <v>0</v>
      </c>
      <c r="J83" s="7" t="s">
        <v>77</v>
      </c>
      <c r="K83" s="7" t="s">
        <v>263</v>
      </c>
      <c r="L83" s="7" t="s">
        <v>910</v>
      </c>
      <c r="M83" s="27"/>
      <c r="N83" s="25"/>
      <c r="O83" s="25"/>
      <c r="P83" s="25"/>
      <c r="Q83" s="25">
        <v>1</v>
      </c>
      <c r="R83" s="31">
        <f t="shared" si="7"/>
        <v>0.5</v>
      </c>
      <c r="S83" s="7" t="s">
        <v>77</v>
      </c>
      <c r="T83" s="7" t="s">
        <v>263</v>
      </c>
      <c r="U83" s="7" t="s">
        <v>502</v>
      </c>
      <c r="V83" s="27">
        <v>1</v>
      </c>
      <c r="W83" s="25"/>
      <c r="X83" s="25"/>
      <c r="Y83" s="25"/>
      <c r="Z83" s="25"/>
      <c r="AA83" s="49">
        <f t="shared" si="8"/>
        <v>1</v>
      </c>
      <c r="AG83" s="63">
        <f t="shared" si="9"/>
        <v>0</v>
      </c>
      <c r="AH83" s="59">
        <f t="shared" si="10"/>
        <v>0</v>
      </c>
      <c r="AI83" s="69">
        <f t="shared" si="11"/>
        <v>0</v>
      </c>
    </row>
    <row r="84" spans="1:35" s="11" customFormat="1" ht="27" customHeight="1" x14ac:dyDescent="0.2">
      <c r="A84" s="7" t="s">
        <v>78</v>
      </c>
      <c r="B84" s="7" t="s">
        <v>264</v>
      </c>
      <c r="C84" s="8" t="s">
        <v>678</v>
      </c>
      <c r="D84" s="24"/>
      <c r="E84" s="25"/>
      <c r="F84" s="25"/>
      <c r="G84" s="25"/>
      <c r="H84" s="25"/>
      <c r="I84" s="26">
        <f t="shared" si="6"/>
        <v>0</v>
      </c>
      <c r="J84" s="7" t="s">
        <v>78</v>
      </c>
      <c r="K84" s="7" t="s">
        <v>264</v>
      </c>
      <c r="L84" s="7" t="s">
        <v>911</v>
      </c>
      <c r="M84" s="24">
        <v>1</v>
      </c>
      <c r="N84" s="25"/>
      <c r="O84" s="25"/>
      <c r="P84" s="25"/>
      <c r="Q84" s="25">
        <v>1</v>
      </c>
      <c r="R84" s="31">
        <f t="shared" si="7"/>
        <v>1.5</v>
      </c>
      <c r="S84" s="7" t="s">
        <v>78</v>
      </c>
      <c r="T84" s="7" t="s">
        <v>264</v>
      </c>
      <c r="U84" s="7" t="s">
        <v>503</v>
      </c>
      <c r="V84" s="24"/>
      <c r="W84" s="25"/>
      <c r="X84" s="25"/>
      <c r="Y84" s="25">
        <v>2</v>
      </c>
      <c r="Z84" s="25"/>
      <c r="AA84" s="49">
        <f t="shared" si="8"/>
        <v>2</v>
      </c>
      <c r="AG84" s="63">
        <f t="shared" si="9"/>
        <v>0</v>
      </c>
      <c r="AH84" s="59">
        <f t="shared" si="10"/>
        <v>0</v>
      </c>
      <c r="AI84" s="69">
        <f t="shared" si="11"/>
        <v>2</v>
      </c>
    </row>
    <row r="85" spans="1:35" s="11" customFormat="1" ht="27" customHeight="1" x14ac:dyDescent="0.2">
      <c r="A85" s="7" t="s">
        <v>79</v>
      </c>
      <c r="B85" s="7" t="s">
        <v>265</v>
      </c>
      <c r="C85" s="9" t="s">
        <v>679</v>
      </c>
      <c r="D85" s="27"/>
      <c r="E85" s="25"/>
      <c r="F85" s="25">
        <v>1</v>
      </c>
      <c r="G85" s="25"/>
      <c r="H85" s="25"/>
      <c r="I85" s="26">
        <f t="shared" si="6"/>
        <v>1</v>
      </c>
      <c r="J85" s="7" t="s">
        <v>79</v>
      </c>
      <c r="K85" s="7" t="s">
        <v>265</v>
      </c>
      <c r="L85" s="7" t="s">
        <v>912</v>
      </c>
      <c r="M85" s="27"/>
      <c r="N85" s="25"/>
      <c r="O85" s="25">
        <v>1</v>
      </c>
      <c r="P85" s="25"/>
      <c r="Q85" s="25"/>
      <c r="R85" s="31">
        <f t="shared" si="7"/>
        <v>1</v>
      </c>
      <c r="S85" s="7" t="s">
        <v>79</v>
      </c>
      <c r="T85" s="7" t="s">
        <v>265</v>
      </c>
      <c r="U85" s="7" t="s">
        <v>504</v>
      </c>
      <c r="V85" s="27"/>
      <c r="W85" s="25"/>
      <c r="X85" s="25">
        <v>1</v>
      </c>
      <c r="Y85" s="25"/>
      <c r="Z85" s="25"/>
      <c r="AA85" s="49">
        <f t="shared" si="8"/>
        <v>1</v>
      </c>
      <c r="AG85" s="63">
        <f t="shared" si="9"/>
        <v>1</v>
      </c>
      <c r="AH85" s="59">
        <f t="shared" si="10"/>
        <v>1</v>
      </c>
      <c r="AI85" s="69">
        <f t="shared" si="11"/>
        <v>1</v>
      </c>
    </row>
    <row r="86" spans="1:35" s="11" customFormat="1" ht="27" customHeight="1" x14ac:dyDescent="0.2">
      <c r="A86" s="7" t="s">
        <v>80</v>
      </c>
      <c r="B86" s="7" t="s">
        <v>266</v>
      </c>
      <c r="C86" s="8" t="s">
        <v>680</v>
      </c>
      <c r="D86" s="24">
        <v>1</v>
      </c>
      <c r="E86" s="25"/>
      <c r="F86" s="25"/>
      <c r="G86" s="25"/>
      <c r="H86" s="25"/>
      <c r="I86" s="26">
        <f t="shared" si="6"/>
        <v>1</v>
      </c>
      <c r="J86" s="7" t="s">
        <v>80</v>
      </c>
      <c r="K86" s="7" t="s">
        <v>266</v>
      </c>
      <c r="L86" s="7" t="s">
        <v>913</v>
      </c>
      <c r="M86" s="24">
        <v>1</v>
      </c>
      <c r="N86" s="25"/>
      <c r="O86" s="25"/>
      <c r="P86" s="25"/>
      <c r="Q86" s="25"/>
      <c r="R86" s="31">
        <f t="shared" si="7"/>
        <v>1</v>
      </c>
      <c r="S86" s="7" t="s">
        <v>80</v>
      </c>
      <c r="T86" s="7" t="s">
        <v>266</v>
      </c>
      <c r="U86" s="7" t="s">
        <v>505</v>
      </c>
      <c r="V86" s="24"/>
      <c r="W86" s="25"/>
      <c r="X86" s="25">
        <v>2</v>
      </c>
      <c r="Y86" s="25"/>
      <c r="Z86" s="25"/>
      <c r="AA86" s="49">
        <f t="shared" si="8"/>
        <v>2</v>
      </c>
      <c r="AG86" s="63">
        <f t="shared" si="9"/>
        <v>0</v>
      </c>
      <c r="AH86" s="59">
        <f t="shared" si="10"/>
        <v>0</v>
      </c>
      <c r="AI86" s="69">
        <f t="shared" si="11"/>
        <v>2</v>
      </c>
    </row>
    <row r="87" spans="1:35" s="11" customFormat="1" ht="27" customHeight="1" x14ac:dyDescent="0.2">
      <c r="A87" s="7" t="s">
        <v>81</v>
      </c>
      <c r="B87" s="7" t="s">
        <v>267</v>
      </c>
      <c r="C87" s="8" t="s">
        <v>681</v>
      </c>
      <c r="D87" s="24"/>
      <c r="E87" s="25"/>
      <c r="F87" s="25"/>
      <c r="G87" s="25"/>
      <c r="H87" s="25"/>
      <c r="I87" s="26">
        <f t="shared" si="6"/>
        <v>0</v>
      </c>
      <c r="J87" s="7" t="s">
        <v>81</v>
      </c>
      <c r="K87" s="7" t="s">
        <v>267</v>
      </c>
      <c r="L87" s="7" t="s">
        <v>396</v>
      </c>
      <c r="M87" s="24"/>
      <c r="N87" s="25"/>
      <c r="O87" s="25"/>
      <c r="P87" s="25"/>
      <c r="Q87" s="25">
        <v>2</v>
      </c>
      <c r="R87" s="31">
        <f t="shared" si="7"/>
        <v>1</v>
      </c>
      <c r="S87" s="7" t="s">
        <v>81</v>
      </c>
      <c r="T87" s="7" t="s">
        <v>267</v>
      </c>
      <c r="U87" s="7" t="s">
        <v>506</v>
      </c>
      <c r="V87" s="24"/>
      <c r="W87" s="25"/>
      <c r="X87" s="25"/>
      <c r="Y87" s="25"/>
      <c r="Z87" s="25">
        <v>2</v>
      </c>
      <c r="AA87" s="49">
        <f t="shared" si="8"/>
        <v>1</v>
      </c>
      <c r="AG87" s="63">
        <f t="shared" si="9"/>
        <v>0</v>
      </c>
      <c r="AH87" s="59">
        <f t="shared" si="10"/>
        <v>0</v>
      </c>
      <c r="AI87" s="69">
        <f t="shared" si="11"/>
        <v>0</v>
      </c>
    </row>
    <row r="88" spans="1:35" s="11" customFormat="1" ht="27" customHeight="1" x14ac:dyDescent="0.2">
      <c r="A88" s="7" t="s">
        <v>82</v>
      </c>
      <c r="B88" s="7" t="s">
        <v>268</v>
      </c>
      <c r="C88" s="9" t="s">
        <v>682</v>
      </c>
      <c r="D88" s="27"/>
      <c r="E88" s="25"/>
      <c r="F88" s="25"/>
      <c r="G88" s="25">
        <v>2</v>
      </c>
      <c r="H88" s="25"/>
      <c r="I88" s="26">
        <f t="shared" si="6"/>
        <v>2</v>
      </c>
      <c r="J88" s="7" t="s">
        <v>82</v>
      </c>
      <c r="K88" s="7" t="s">
        <v>268</v>
      </c>
      <c r="L88" s="7" t="s">
        <v>914</v>
      </c>
      <c r="M88" s="27"/>
      <c r="N88" s="25"/>
      <c r="O88" s="25"/>
      <c r="P88" s="25">
        <v>2</v>
      </c>
      <c r="Q88" s="25"/>
      <c r="R88" s="31">
        <f t="shared" si="7"/>
        <v>2</v>
      </c>
      <c r="S88" s="7" t="s">
        <v>82</v>
      </c>
      <c r="T88" s="7" t="s">
        <v>268</v>
      </c>
      <c r="U88" s="7" t="s">
        <v>507</v>
      </c>
      <c r="V88" s="27"/>
      <c r="W88" s="25"/>
      <c r="X88" s="25"/>
      <c r="Y88" s="25">
        <v>2</v>
      </c>
      <c r="Z88" s="25"/>
      <c r="AA88" s="49">
        <f t="shared" si="8"/>
        <v>2</v>
      </c>
      <c r="AG88" s="63">
        <f t="shared" si="9"/>
        <v>2</v>
      </c>
      <c r="AH88" s="59">
        <f t="shared" si="10"/>
        <v>2</v>
      </c>
      <c r="AI88" s="69">
        <f t="shared" si="11"/>
        <v>2</v>
      </c>
    </row>
    <row r="89" spans="1:35" s="11" customFormat="1" ht="27" customHeight="1" x14ac:dyDescent="0.2">
      <c r="A89" s="7" t="s">
        <v>83</v>
      </c>
      <c r="B89" s="7" t="s">
        <v>269</v>
      </c>
      <c r="C89" s="8" t="s">
        <v>683</v>
      </c>
      <c r="D89" s="24"/>
      <c r="E89" s="25"/>
      <c r="F89" s="25"/>
      <c r="G89" s="25"/>
      <c r="H89" s="25"/>
      <c r="I89" s="26">
        <f t="shared" si="6"/>
        <v>0</v>
      </c>
      <c r="J89" s="7" t="s">
        <v>83</v>
      </c>
      <c r="K89" s="7" t="s">
        <v>269</v>
      </c>
      <c r="L89" s="7" t="s">
        <v>915</v>
      </c>
      <c r="M89" s="24"/>
      <c r="N89" s="25"/>
      <c r="O89" s="25"/>
      <c r="P89" s="25"/>
      <c r="Q89" s="25">
        <v>2</v>
      </c>
      <c r="R89" s="31">
        <f t="shared" si="7"/>
        <v>1</v>
      </c>
      <c r="S89" s="7" t="s">
        <v>83</v>
      </c>
      <c r="T89" s="7" t="s">
        <v>269</v>
      </c>
      <c r="U89" s="7" t="s">
        <v>508</v>
      </c>
      <c r="V89" s="24"/>
      <c r="W89" s="25"/>
      <c r="X89" s="25"/>
      <c r="Y89" s="25"/>
      <c r="Z89" s="25">
        <v>1</v>
      </c>
      <c r="AA89" s="49">
        <f t="shared" si="8"/>
        <v>0.5</v>
      </c>
      <c r="AG89" s="63">
        <f t="shared" si="9"/>
        <v>0</v>
      </c>
      <c r="AH89" s="59">
        <f t="shared" si="10"/>
        <v>0</v>
      </c>
      <c r="AI89" s="69">
        <f t="shared" si="11"/>
        <v>0</v>
      </c>
    </row>
    <row r="90" spans="1:35" s="11" customFormat="1" ht="27" customHeight="1" x14ac:dyDescent="0.2">
      <c r="A90" s="7" t="s">
        <v>84</v>
      </c>
      <c r="B90" s="7" t="s">
        <v>270</v>
      </c>
      <c r="C90" s="8" t="s">
        <v>684</v>
      </c>
      <c r="D90" s="24"/>
      <c r="E90" s="25"/>
      <c r="F90" s="25">
        <v>2</v>
      </c>
      <c r="G90" s="25"/>
      <c r="H90" s="25"/>
      <c r="I90" s="26">
        <f t="shared" si="6"/>
        <v>2</v>
      </c>
      <c r="J90" s="7" t="s">
        <v>84</v>
      </c>
      <c r="K90" s="7" t="s">
        <v>270</v>
      </c>
      <c r="L90" s="7" t="s">
        <v>916</v>
      </c>
      <c r="M90" s="24"/>
      <c r="N90" s="25"/>
      <c r="O90" s="25">
        <v>2</v>
      </c>
      <c r="P90" s="25"/>
      <c r="Q90" s="25"/>
      <c r="R90" s="31">
        <f t="shared" si="7"/>
        <v>2</v>
      </c>
      <c r="S90" s="7" t="s">
        <v>84</v>
      </c>
      <c r="T90" s="7" t="s">
        <v>270</v>
      </c>
      <c r="U90" s="7" t="s">
        <v>509</v>
      </c>
      <c r="V90" s="24"/>
      <c r="W90" s="25"/>
      <c r="X90" s="25">
        <v>2</v>
      </c>
      <c r="Y90" s="25"/>
      <c r="Z90" s="25"/>
      <c r="AA90" s="49">
        <f t="shared" si="8"/>
        <v>2</v>
      </c>
      <c r="AG90" s="63">
        <f t="shared" si="9"/>
        <v>2</v>
      </c>
      <c r="AH90" s="59">
        <f t="shared" si="10"/>
        <v>2</v>
      </c>
      <c r="AI90" s="69">
        <f t="shared" si="11"/>
        <v>2</v>
      </c>
    </row>
    <row r="91" spans="1:35" s="11" customFormat="1" ht="27" customHeight="1" x14ac:dyDescent="0.2">
      <c r="A91" s="7" t="s">
        <v>85</v>
      </c>
      <c r="B91" s="7" t="s">
        <v>271</v>
      </c>
      <c r="C91" s="8" t="s">
        <v>685</v>
      </c>
      <c r="D91" s="24"/>
      <c r="E91" s="25"/>
      <c r="F91" s="25">
        <v>1</v>
      </c>
      <c r="G91" s="25"/>
      <c r="H91" s="25"/>
      <c r="I91" s="26">
        <f t="shared" si="6"/>
        <v>1</v>
      </c>
      <c r="J91" s="7" t="s">
        <v>85</v>
      </c>
      <c r="K91" s="7" t="s">
        <v>271</v>
      </c>
      <c r="L91" s="7" t="s">
        <v>917</v>
      </c>
      <c r="M91" s="24"/>
      <c r="N91" s="25"/>
      <c r="O91" s="25"/>
      <c r="P91" s="25"/>
      <c r="Q91" s="25">
        <v>1</v>
      </c>
      <c r="R91" s="31">
        <f t="shared" si="7"/>
        <v>0.5</v>
      </c>
      <c r="S91" s="7" t="s">
        <v>85</v>
      </c>
      <c r="T91" s="7" t="s">
        <v>271</v>
      </c>
      <c r="U91" s="7" t="s">
        <v>510</v>
      </c>
      <c r="V91" s="24"/>
      <c r="W91" s="25"/>
      <c r="X91" s="25">
        <v>2</v>
      </c>
      <c r="Y91" s="25"/>
      <c r="Z91" s="25"/>
      <c r="AA91" s="49">
        <f t="shared" si="8"/>
        <v>2</v>
      </c>
      <c r="AG91" s="63">
        <f t="shared" si="9"/>
        <v>1</v>
      </c>
      <c r="AH91" s="59">
        <f t="shared" si="10"/>
        <v>0</v>
      </c>
      <c r="AI91" s="69">
        <f t="shared" si="11"/>
        <v>2</v>
      </c>
    </row>
    <row r="92" spans="1:35" s="11" customFormat="1" ht="27" customHeight="1" x14ac:dyDescent="0.2">
      <c r="A92" s="7" t="s">
        <v>86</v>
      </c>
      <c r="B92" s="7" t="s">
        <v>272</v>
      </c>
      <c r="C92" s="8" t="s">
        <v>1014</v>
      </c>
      <c r="D92" s="24"/>
      <c r="E92" s="25"/>
      <c r="F92" s="25"/>
      <c r="G92" s="25"/>
      <c r="H92" s="25"/>
      <c r="I92" s="26">
        <f t="shared" si="6"/>
        <v>0</v>
      </c>
      <c r="J92" s="7" t="s">
        <v>86</v>
      </c>
      <c r="K92" s="7" t="s">
        <v>272</v>
      </c>
      <c r="L92" s="7" t="s">
        <v>397</v>
      </c>
      <c r="M92" s="24"/>
      <c r="N92" s="25"/>
      <c r="O92" s="25"/>
      <c r="P92" s="25"/>
      <c r="Q92" s="25"/>
      <c r="R92" s="31">
        <f t="shared" si="7"/>
        <v>0</v>
      </c>
      <c r="S92" s="7" t="s">
        <v>86</v>
      </c>
      <c r="T92" s="7" t="s">
        <v>272</v>
      </c>
      <c r="U92" s="7" t="s">
        <v>511</v>
      </c>
      <c r="V92" s="24">
        <v>1</v>
      </c>
      <c r="W92" s="25"/>
      <c r="X92" s="25"/>
      <c r="Y92" s="25"/>
      <c r="Z92" s="25"/>
      <c r="AA92" s="49">
        <f t="shared" si="8"/>
        <v>1</v>
      </c>
      <c r="AG92" s="63">
        <f t="shared" si="9"/>
        <v>0</v>
      </c>
      <c r="AH92" s="59">
        <f t="shared" si="10"/>
        <v>0</v>
      </c>
      <c r="AI92" s="69">
        <f t="shared" si="11"/>
        <v>0</v>
      </c>
    </row>
    <row r="93" spans="1:35" s="11" customFormat="1" ht="27" customHeight="1" x14ac:dyDescent="0.2">
      <c r="A93" s="7" t="s">
        <v>87</v>
      </c>
      <c r="B93" s="7" t="s">
        <v>273</v>
      </c>
      <c r="C93" s="8" t="s">
        <v>686</v>
      </c>
      <c r="D93" s="24"/>
      <c r="E93" s="25"/>
      <c r="F93" s="25"/>
      <c r="G93" s="25"/>
      <c r="H93" s="25">
        <v>2</v>
      </c>
      <c r="I93" s="26">
        <f t="shared" si="6"/>
        <v>1</v>
      </c>
      <c r="J93" s="7" t="s">
        <v>87</v>
      </c>
      <c r="K93" s="7" t="s">
        <v>273</v>
      </c>
      <c r="L93" s="7" t="s">
        <v>918</v>
      </c>
      <c r="M93" s="24"/>
      <c r="N93" s="25"/>
      <c r="O93" s="25"/>
      <c r="P93" s="25"/>
      <c r="Q93" s="25">
        <v>2</v>
      </c>
      <c r="R93" s="31">
        <f t="shared" si="7"/>
        <v>1</v>
      </c>
      <c r="S93" s="7" t="s">
        <v>87</v>
      </c>
      <c r="T93" s="7" t="s">
        <v>273</v>
      </c>
      <c r="U93" s="7" t="s">
        <v>512</v>
      </c>
      <c r="V93" s="24"/>
      <c r="W93" s="25"/>
      <c r="X93" s="25"/>
      <c r="Y93" s="25"/>
      <c r="Z93" s="25"/>
      <c r="AA93" s="49">
        <f t="shared" si="8"/>
        <v>0</v>
      </c>
      <c r="AG93" s="63">
        <f t="shared" si="9"/>
        <v>0</v>
      </c>
      <c r="AH93" s="59">
        <f t="shared" si="10"/>
        <v>0</v>
      </c>
      <c r="AI93" s="69">
        <f t="shared" si="11"/>
        <v>0</v>
      </c>
    </row>
    <row r="94" spans="1:35" s="11" customFormat="1" ht="27" customHeight="1" x14ac:dyDescent="0.2">
      <c r="A94" s="7" t="s">
        <v>88</v>
      </c>
      <c r="B94" s="7" t="s">
        <v>274</v>
      </c>
      <c r="C94" s="9" t="s">
        <v>687</v>
      </c>
      <c r="D94" s="27"/>
      <c r="E94" s="25"/>
      <c r="F94" s="25"/>
      <c r="G94" s="25"/>
      <c r="H94" s="25"/>
      <c r="I94" s="26">
        <f t="shared" si="6"/>
        <v>0</v>
      </c>
      <c r="J94" s="7" t="s">
        <v>88</v>
      </c>
      <c r="K94" s="7" t="s">
        <v>274</v>
      </c>
      <c r="L94" s="7" t="s">
        <v>919</v>
      </c>
      <c r="M94" s="27">
        <v>2</v>
      </c>
      <c r="N94" s="25"/>
      <c r="O94" s="25"/>
      <c r="P94" s="25">
        <v>2</v>
      </c>
      <c r="Q94" s="25"/>
      <c r="R94" s="31">
        <f t="shared" si="7"/>
        <v>4</v>
      </c>
      <c r="S94" s="7" t="s">
        <v>88</v>
      </c>
      <c r="T94" s="7" t="s">
        <v>274</v>
      </c>
      <c r="U94" s="7" t="s">
        <v>513</v>
      </c>
      <c r="V94" s="27"/>
      <c r="W94" s="25"/>
      <c r="X94" s="25"/>
      <c r="Y94" s="25">
        <v>2</v>
      </c>
      <c r="Z94" s="25"/>
      <c r="AA94" s="49">
        <f t="shared" si="8"/>
        <v>2</v>
      </c>
      <c r="AG94" s="63">
        <f t="shared" si="9"/>
        <v>0</v>
      </c>
      <c r="AH94" s="59">
        <f t="shared" si="10"/>
        <v>2</v>
      </c>
      <c r="AI94" s="69">
        <f t="shared" si="11"/>
        <v>2</v>
      </c>
    </row>
    <row r="95" spans="1:35" s="11" customFormat="1" ht="27" customHeight="1" x14ac:dyDescent="0.2">
      <c r="A95" s="7" t="s">
        <v>89</v>
      </c>
      <c r="B95" s="7" t="s">
        <v>275</v>
      </c>
      <c r="C95" s="8" t="s">
        <v>688</v>
      </c>
      <c r="D95" s="24">
        <v>2</v>
      </c>
      <c r="E95" s="25"/>
      <c r="F95" s="25">
        <v>2</v>
      </c>
      <c r="G95" s="25"/>
      <c r="H95" s="25"/>
      <c r="I95" s="26">
        <f t="shared" si="6"/>
        <v>4</v>
      </c>
      <c r="J95" s="7" t="s">
        <v>89</v>
      </c>
      <c r="K95" s="7" t="s">
        <v>275</v>
      </c>
      <c r="L95" s="7" t="s">
        <v>398</v>
      </c>
      <c r="M95" s="24"/>
      <c r="N95" s="25"/>
      <c r="O95" s="25"/>
      <c r="P95" s="25">
        <v>2</v>
      </c>
      <c r="Q95" s="25"/>
      <c r="R95" s="31">
        <f t="shared" si="7"/>
        <v>2</v>
      </c>
      <c r="S95" s="7" t="s">
        <v>89</v>
      </c>
      <c r="T95" s="7" t="s">
        <v>275</v>
      </c>
      <c r="U95" s="7" t="s">
        <v>514</v>
      </c>
      <c r="V95" s="24"/>
      <c r="W95" s="25"/>
      <c r="X95" s="25"/>
      <c r="Y95" s="25">
        <v>2</v>
      </c>
      <c r="Z95" s="25"/>
      <c r="AA95" s="49">
        <f t="shared" si="8"/>
        <v>2</v>
      </c>
      <c r="AG95" s="63">
        <f t="shared" si="9"/>
        <v>2</v>
      </c>
      <c r="AH95" s="59">
        <f t="shared" si="10"/>
        <v>2</v>
      </c>
      <c r="AI95" s="69">
        <f t="shared" si="11"/>
        <v>2</v>
      </c>
    </row>
    <row r="96" spans="1:35" s="11" customFormat="1" ht="27" customHeight="1" x14ac:dyDescent="0.2">
      <c r="A96" s="7" t="s">
        <v>90</v>
      </c>
      <c r="B96" s="7" t="s">
        <v>276</v>
      </c>
      <c r="C96" s="8" t="s">
        <v>1015</v>
      </c>
      <c r="D96" s="24"/>
      <c r="E96" s="25"/>
      <c r="F96" s="25">
        <v>2</v>
      </c>
      <c r="G96" s="25"/>
      <c r="H96" s="25"/>
      <c r="I96" s="26">
        <f t="shared" si="6"/>
        <v>2</v>
      </c>
      <c r="J96" s="7" t="s">
        <v>90</v>
      </c>
      <c r="K96" s="7" t="s">
        <v>276</v>
      </c>
      <c r="L96" s="7" t="s">
        <v>920</v>
      </c>
      <c r="M96" s="24"/>
      <c r="N96" s="25"/>
      <c r="O96" s="25">
        <v>2</v>
      </c>
      <c r="P96" s="25"/>
      <c r="Q96" s="25"/>
      <c r="R96" s="31">
        <f t="shared" si="7"/>
        <v>2</v>
      </c>
      <c r="S96" s="7" t="s">
        <v>90</v>
      </c>
      <c r="T96" s="7" t="s">
        <v>276</v>
      </c>
      <c r="U96" s="7" t="s">
        <v>515</v>
      </c>
      <c r="V96" s="24"/>
      <c r="W96" s="25"/>
      <c r="X96" s="25">
        <v>2</v>
      </c>
      <c r="Y96" s="25"/>
      <c r="Z96" s="25"/>
      <c r="AA96" s="49">
        <f t="shared" si="8"/>
        <v>2</v>
      </c>
      <c r="AG96" s="63">
        <f t="shared" si="9"/>
        <v>2</v>
      </c>
      <c r="AH96" s="59">
        <f t="shared" si="10"/>
        <v>2</v>
      </c>
      <c r="AI96" s="69">
        <f t="shared" si="11"/>
        <v>2</v>
      </c>
    </row>
    <row r="97" spans="1:35" s="11" customFormat="1" ht="27" customHeight="1" x14ac:dyDescent="0.2">
      <c r="A97" s="7" t="s">
        <v>91</v>
      </c>
      <c r="B97" s="7" t="s">
        <v>277</v>
      </c>
      <c r="C97" s="9" t="s">
        <v>1016</v>
      </c>
      <c r="D97" s="27"/>
      <c r="E97" s="25"/>
      <c r="F97" s="25"/>
      <c r="G97" s="25"/>
      <c r="H97" s="25"/>
      <c r="I97" s="26">
        <f t="shared" si="6"/>
        <v>0</v>
      </c>
      <c r="J97" s="7" t="s">
        <v>91</v>
      </c>
      <c r="K97" s="7" t="s">
        <v>277</v>
      </c>
      <c r="L97" s="7" t="s">
        <v>399</v>
      </c>
      <c r="M97" s="27"/>
      <c r="N97" s="25"/>
      <c r="O97" s="25"/>
      <c r="P97" s="25"/>
      <c r="Q97" s="25"/>
      <c r="R97" s="31">
        <f t="shared" si="7"/>
        <v>0</v>
      </c>
      <c r="S97" s="7" t="s">
        <v>91</v>
      </c>
      <c r="T97" s="7" t="s">
        <v>277</v>
      </c>
      <c r="U97" s="7" t="s">
        <v>516</v>
      </c>
      <c r="V97" s="27"/>
      <c r="W97" s="25"/>
      <c r="X97" s="25">
        <v>1</v>
      </c>
      <c r="Y97" s="25"/>
      <c r="Z97" s="25"/>
      <c r="AA97" s="49">
        <f t="shared" si="8"/>
        <v>1</v>
      </c>
      <c r="AG97" s="63">
        <f t="shared" si="9"/>
        <v>0</v>
      </c>
      <c r="AH97" s="59">
        <f t="shared" si="10"/>
        <v>0</v>
      </c>
      <c r="AI97" s="69">
        <f t="shared" si="11"/>
        <v>1</v>
      </c>
    </row>
    <row r="98" spans="1:35" s="11" customFormat="1" ht="27" customHeight="1" x14ac:dyDescent="0.2">
      <c r="A98" s="7" t="s">
        <v>92</v>
      </c>
      <c r="B98" s="7" t="s">
        <v>278</v>
      </c>
      <c r="C98" s="8" t="s">
        <v>1017</v>
      </c>
      <c r="D98" s="24"/>
      <c r="E98" s="25"/>
      <c r="F98" s="25"/>
      <c r="G98" s="25"/>
      <c r="H98" s="25">
        <v>2</v>
      </c>
      <c r="I98" s="26">
        <f t="shared" si="6"/>
        <v>1</v>
      </c>
      <c r="J98" s="7" t="s">
        <v>92</v>
      </c>
      <c r="K98" s="7" t="s">
        <v>278</v>
      </c>
      <c r="L98" s="7" t="s">
        <v>921</v>
      </c>
      <c r="M98" s="24"/>
      <c r="N98" s="25"/>
      <c r="O98" s="25"/>
      <c r="P98" s="25"/>
      <c r="Q98" s="25">
        <v>2</v>
      </c>
      <c r="R98" s="31">
        <f t="shared" si="7"/>
        <v>1</v>
      </c>
      <c r="S98" s="7" t="s">
        <v>92</v>
      </c>
      <c r="T98" s="7" t="s">
        <v>278</v>
      </c>
      <c r="U98" s="7" t="s">
        <v>517</v>
      </c>
      <c r="V98" s="24"/>
      <c r="W98" s="25"/>
      <c r="X98" s="25"/>
      <c r="Y98" s="25"/>
      <c r="Z98" s="25">
        <v>2</v>
      </c>
      <c r="AA98" s="49">
        <f t="shared" si="8"/>
        <v>1</v>
      </c>
      <c r="AG98" s="63">
        <f t="shared" si="9"/>
        <v>0</v>
      </c>
      <c r="AH98" s="59">
        <f t="shared" si="10"/>
        <v>0</v>
      </c>
      <c r="AI98" s="69">
        <f t="shared" si="11"/>
        <v>0</v>
      </c>
    </row>
    <row r="99" spans="1:35" s="11" customFormat="1" ht="27" customHeight="1" x14ac:dyDescent="0.2">
      <c r="A99" s="7" t="s">
        <v>93</v>
      </c>
      <c r="B99" s="7" t="s">
        <v>279</v>
      </c>
      <c r="C99" s="8" t="s">
        <v>689</v>
      </c>
      <c r="D99" s="24"/>
      <c r="E99" s="25"/>
      <c r="F99" s="25"/>
      <c r="G99" s="25"/>
      <c r="H99" s="25"/>
      <c r="I99" s="26">
        <f t="shared" si="6"/>
        <v>0</v>
      </c>
      <c r="J99" s="7" t="s">
        <v>93</v>
      </c>
      <c r="K99" s="7" t="s">
        <v>279</v>
      </c>
      <c r="L99" s="7" t="s">
        <v>400</v>
      </c>
      <c r="M99" s="24"/>
      <c r="N99" s="25"/>
      <c r="O99" s="25"/>
      <c r="P99" s="25"/>
      <c r="Q99" s="25"/>
      <c r="R99" s="31">
        <f t="shared" si="7"/>
        <v>0</v>
      </c>
      <c r="S99" s="7" t="s">
        <v>93</v>
      </c>
      <c r="T99" s="7" t="s">
        <v>279</v>
      </c>
      <c r="U99" s="7" t="s">
        <v>518</v>
      </c>
      <c r="V99" s="24">
        <v>1</v>
      </c>
      <c r="W99" s="25"/>
      <c r="X99" s="25"/>
      <c r="Y99" s="25"/>
      <c r="Z99" s="25"/>
      <c r="AA99" s="49">
        <f t="shared" si="8"/>
        <v>1</v>
      </c>
      <c r="AG99" s="63">
        <f t="shared" si="9"/>
        <v>0</v>
      </c>
      <c r="AH99" s="59">
        <f t="shared" si="10"/>
        <v>0</v>
      </c>
      <c r="AI99" s="69">
        <f t="shared" si="11"/>
        <v>0</v>
      </c>
    </row>
    <row r="100" spans="1:35" s="11" customFormat="1" ht="27" customHeight="1" x14ac:dyDescent="0.2">
      <c r="A100" s="7" t="s">
        <v>94</v>
      </c>
      <c r="B100" s="7" t="s">
        <v>280</v>
      </c>
      <c r="C100" s="8" t="s">
        <v>690</v>
      </c>
      <c r="D100" s="24">
        <v>1</v>
      </c>
      <c r="E100" s="25"/>
      <c r="F100" s="25"/>
      <c r="G100" s="25">
        <v>1</v>
      </c>
      <c r="H100" s="25"/>
      <c r="I100" s="26">
        <f t="shared" si="6"/>
        <v>2</v>
      </c>
      <c r="J100" s="7" t="s">
        <v>94</v>
      </c>
      <c r="K100" s="7" t="s">
        <v>280</v>
      </c>
      <c r="L100" s="7" t="s">
        <v>922</v>
      </c>
      <c r="M100" s="24"/>
      <c r="N100" s="25"/>
      <c r="O100" s="25"/>
      <c r="P100" s="25"/>
      <c r="Q100" s="25">
        <v>2</v>
      </c>
      <c r="R100" s="31">
        <f t="shared" si="7"/>
        <v>1</v>
      </c>
      <c r="S100" s="7" t="s">
        <v>94</v>
      </c>
      <c r="T100" s="7" t="s">
        <v>280</v>
      </c>
      <c r="U100" s="7" t="s">
        <v>519</v>
      </c>
      <c r="V100" s="24">
        <v>2</v>
      </c>
      <c r="W100" s="25"/>
      <c r="X100" s="25"/>
      <c r="Y100" s="25">
        <v>2</v>
      </c>
      <c r="Z100" s="25"/>
      <c r="AA100" s="49">
        <f t="shared" si="8"/>
        <v>4</v>
      </c>
      <c r="AG100" s="63">
        <f t="shared" si="9"/>
        <v>1</v>
      </c>
      <c r="AH100" s="59">
        <f t="shared" si="10"/>
        <v>0</v>
      </c>
      <c r="AI100" s="69">
        <f t="shared" si="11"/>
        <v>2</v>
      </c>
    </row>
    <row r="101" spans="1:35" s="11" customFormat="1" ht="27" customHeight="1" x14ac:dyDescent="0.2">
      <c r="A101" s="7" t="s">
        <v>95</v>
      </c>
      <c r="B101" s="7" t="s">
        <v>281</v>
      </c>
      <c r="C101" s="8" t="s">
        <v>691</v>
      </c>
      <c r="D101" s="24">
        <v>2</v>
      </c>
      <c r="E101" s="25"/>
      <c r="F101" s="25"/>
      <c r="G101" s="25"/>
      <c r="H101" s="25">
        <v>2</v>
      </c>
      <c r="I101" s="26">
        <f t="shared" si="6"/>
        <v>3</v>
      </c>
      <c r="J101" s="7" t="s">
        <v>95</v>
      </c>
      <c r="K101" s="7" t="s">
        <v>281</v>
      </c>
      <c r="L101" s="7" t="s">
        <v>923</v>
      </c>
      <c r="M101" s="24"/>
      <c r="N101" s="25"/>
      <c r="O101" s="25"/>
      <c r="P101" s="25"/>
      <c r="Q101" s="25"/>
      <c r="R101" s="31">
        <f t="shared" si="7"/>
        <v>0</v>
      </c>
      <c r="S101" s="7" t="s">
        <v>95</v>
      </c>
      <c r="T101" s="7" t="s">
        <v>281</v>
      </c>
      <c r="U101" s="7" t="s">
        <v>520</v>
      </c>
      <c r="V101" s="24"/>
      <c r="W101" s="25"/>
      <c r="X101" s="25"/>
      <c r="Y101" s="25"/>
      <c r="Z101" s="25"/>
      <c r="AA101" s="49">
        <f t="shared" si="8"/>
        <v>0</v>
      </c>
      <c r="AG101" s="63">
        <f t="shared" si="9"/>
        <v>0</v>
      </c>
      <c r="AH101" s="59">
        <f t="shared" si="10"/>
        <v>0</v>
      </c>
      <c r="AI101" s="69">
        <f t="shared" si="11"/>
        <v>0</v>
      </c>
    </row>
    <row r="102" spans="1:35" s="11" customFormat="1" ht="27" customHeight="1" x14ac:dyDescent="0.2">
      <c r="A102" s="7" t="s">
        <v>96</v>
      </c>
      <c r="B102" s="7" t="s">
        <v>282</v>
      </c>
      <c r="C102" s="8" t="s">
        <v>692</v>
      </c>
      <c r="D102" s="24"/>
      <c r="E102" s="25"/>
      <c r="F102" s="25"/>
      <c r="G102" s="25"/>
      <c r="H102" s="25"/>
      <c r="I102" s="26">
        <f t="shared" si="6"/>
        <v>0</v>
      </c>
      <c r="J102" s="7" t="s">
        <v>96</v>
      </c>
      <c r="K102" s="7" t="s">
        <v>282</v>
      </c>
      <c r="L102" s="7" t="s">
        <v>924</v>
      </c>
      <c r="M102" s="24"/>
      <c r="N102" s="25"/>
      <c r="O102" s="25"/>
      <c r="P102" s="25"/>
      <c r="Q102" s="25">
        <v>1</v>
      </c>
      <c r="R102" s="31">
        <f t="shared" si="7"/>
        <v>0.5</v>
      </c>
      <c r="S102" s="7" t="s">
        <v>96</v>
      </c>
      <c r="T102" s="7" t="s">
        <v>282</v>
      </c>
      <c r="U102" s="7" t="s">
        <v>521</v>
      </c>
      <c r="V102" s="24"/>
      <c r="W102" s="25"/>
      <c r="X102" s="25">
        <v>1</v>
      </c>
      <c r="Y102" s="25"/>
      <c r="Z102" s="25"/>
      <c r="AA102" s="49">
        <f t="shared" si="8"/>
        <v>1</v>
      </c>
      <c r="AG102" s="63">
        <f t="shared" si="9"/>
        <v>0</v>
      </c>
      <c r="AH102" s="59">
        <f t="shared" si="10"/>
        <v>0</v>
      </c>
      <c r="AI102" s="69">
        <f t="shared" si="11"/>
        <v>1</v>
      </c>
    </row>
    <row r="103" spans="1:35" s="11" customFormat="1" ht="27" customHeight="1" x14ac:dyDescent="0.2">
      <c r="A103" s="7" t="s">
        <v>97</v>
      </c>
      <c r="B103" s="7" t="s">
        <v>283</v>
      </c>
      <c r="C103" s="8" t="s">
        <v>693</v>
      </c>
      <c r="D103" s="24"/>
      <c r="E103" s="25"/>
      <c r="F103" s="25"/>
      <c r="G103" s="25">
        <v>2</v>
      </c>
      <c r="H103" s="25"/>
      <c r="I103" s="26">
        <f t="shared" si="6"/>
        <v>2</v>
      </c>
      <c r="J103" s="7" t="s">
        <v>97</v>
      </c>
      <c r="K103" s="7" t="s">
        <v>283</v>
      </c>
      <c r="L103" s="7" t="s">
        <v>925</v>
      </c>
      <c r="M103" s="24"/>
      <c r="N103" s="25"/>
      <c r="O103" s="25"/>
      <c r="P103" s="25">
        <v>2</v>
      </c>
      <c r="Q103" s="25"/>
      <c r="R103" s="31">
        <f t="shared" si="7"/>
        <v>2</v>
      </c>
      <c r="S103" s="7" t="s">
        <v>97</v>
      </c>
      <c r="T103" s="7" t="s">
        <v>283</v>
      </c>
      <c r="U103" s="7" t="s">
        <v>522</v>
      </c>
      <c r="V103" s="24"/>
      <c r="W103" s="25"/>
      <c r="X103" s="25"/>
      <c r="Y103" s="25">
        <v>2</v>
      </c>
      <c r="Z103" s="25"/>
      <c r="AA103" s="49">
        <f t="shared" si="8"/>
        <v>2</v>
      </c>
      <c r="AG103" s="63">
        <f t="shared" si="9"/>
        <v>2</v>
      </c>
      <c r="AH103" s="59">
        <f t="shared" si="10"/>
        <v>2</v>
      </c>
      <c r="AI103" s="69">
        <f t="shared" si="11"/>
        <v>2</v>
      </c>
    </row>
    <row r="104" spans="1:35" s="11" customFormat="1" ht="27" customHeight="1" x14ac:dyDescent="0.2">
      <c r="A104" s="7" t="s">
        <v>98</v>
      </c>
      <c r="B104" s="7" t="s">
        <v>284</v>
      </c>
      <c r="C104" s="8" t="s">
        <v>694</v>
      </c>
      <c r="D104" s="24"/>
      <c r="E104" s="25"/>
      <c r="F104" s="25"/>
      <c r="G104" s="25"/>
      <c r="H104" s="25"/>
      <c r="I104" s="26">
        <f t="shared" si="6"/>
        <v>0</v>
      </c>
      <c r="J104" s="7" t="s">
        <v>98</v>
      </c>
      <c r="K104" s="7" t="s">
        <v>284</v>
      </c>
      <c r="L104" s="7" t="s">
        <v>401</v>
      </c>
      <c r="M104" s="24"/>
      <c r="N104" s="25"/>
      <c r="O104" s="25">
        <v>2</v>
      </c>
      <c r="P104" s="25"/>
      <c r="Q104" s="25"/>
      <c r="R104" s="31">
        <f t="shared" si="7"/>
        <v>2</v>
      </c>
      <c r="S104" s="7" t="s">
        <v>98</v>
      </c>
      <c r="T104" s="7" t="s">
        <v>284</v>
      </c>
      <c r="U104" s="7" t="s">
        <v>523</v>
      </c>
      <c r="V104" s="24"/>
      <c r="W104" s="25"/>
      <c r="X104" s="25">
        <v>2</v>
      </c>
      <c r="Y104" s="25"/>
      <c r="Z104" s="25"/>
      <c r="AA104" s="49">
        <f t="shared" si="8"/>
        <v>2</v>
      </c>
      <c r="AG104" s="63">
        <f t="shared" si="9"/>
        <v>0</v>
      </c>
      <c r="AH104" s="59">
        <f t="shared" si="10"/>
        <v>2</v>
      </c>
      <c r="AI104" s="69">
        <f t="shared" si="11"/>
        <v>2</v>
      </c>
    </row>
    <row r="105" spans="1:35" s="11" customFormat="1" ht="27" customHeight="1" x14ac:dyDescent="0.2">
      <c r="A105" s="7" t="s">
        <v>99</v>
      </c>
      <c r="B105" s="7" t="s">
        <v>285</v>
      </c>
      <c r="C105" s="8" t="s">
        <v>695</v>
      </c>
      <c r="D105" s="24"/>
      <c r="E105" s="25"/>
      <c r="F105" s="25"/>
      <c r="G105" s="25">
        <v>1</v>
      </c>
      <c r="H105" s="25"/>
      <c r="I105" s="26">
        <f t="shared" si="6"/>
        <v>1</v>
      </c>
      <c r="J105" s="7" t="s">
        <v>99</v>
      </c>
      <c r="K105" s="7" t="s">
        <v>285</v>
      </c>
      <c r="L105" s="7" t="s">
        <v>926</v>
      </c>
      <c r="M105" s="24">
        <v>1</v>
      </c>
      <c r="N105" s="25"/>
      <c r="O105" s="25"/>
      <c r="P105" s="25"/>
      <c r="Q105" s="25">
        <v>2</v>
      </c>
      <c r="R105" s="31">
        <f t="shared" si="7"/>
        <v>2</v>
      </c>
      <c r="S105" s="7" t="s">
        <v>99</v>
      </c>
      <c r="T105" s="7" t="s">
        <v>285</v>
      </c>
      <c r="U105" s="7" t="s">
        <v>524</v>
      </c>
      <c r="V105" s="24"/>
      <c r="W105" s="25"/>
      <c r="X105" s="25">
        <v>2</v>
      </c>
      <c r="Y105" s="25"/>
      <c r="Z105" s="25"/>
      <c r="AA105" s="49">
        <f t="shared" si="8"/>
        <v>2</v>
      </c>
      <c r="AG105" s="63">
        <f t="shared" si="9"/>
        <v>1</v>
      </c>
      <c r="AH105" s="59">
        <f t="shared" si="10"/>
        <v>0</v>
      </c>
      <c r="AI105" s="69">
        <f t="shared" si="11"/>
        <v>2</v>
      </c>
    </row>
    <row r="106" spans="1:35" s="11" customFormat="1" ht="27" customHeight="1" x14ac:dyDescent="0.2">
      <c r="A106" s="7" t="s">
        <v>100</v>
      </c>
      <c r="B106" s="7" t="s">
        <v>286</v>
      </c>
      <c r="C106" s="8" t="s">
        <v>696</v>
      </c>
      <c r="D106" s="24"/>
      <c r="E106" s="25"/>
      <c r="F106" s="25"/>
      <c r="G106" s="25"/>
      <c r="H106" s="25"/>
      <c r="I106" s="26">
        <f t="shared" si="6"/>
        <v>0</v>
      </c>
      <c r="J106" s="7" t="s">
        <v>100</v>
      </c>
      <c r="K106" s="7" t="s">
        <v>286</v>
      </c>
      <c r="L106" s="7" t="s">
        <v>286</v>
      </c>
      <c r="M106" s="24"/>
      <c r="N106" s="25"/>
      <c r="O106" s="25"/>
      <c r="P106" s="25"/>
      <c r="Q106" s="25">
        <v>1</v>
      </c>
      <c r="R106" s="31">
        <f t="shared" si="7"/>
        <v>0.5</v>
      </c>
      <c r="S106" s="7" t="s">
        <v>100</v>
      </c>
      <c r="T106" s="7" t="s">
        <v>286</v>
      </c>
      <c r="U106" s="7" t="s">
        <v>525</v>
      </c>
      <c r="V106" s="24"/>
      <c r="W106" s="25"/>
      <c r="X106" s="25"/>
      <c r="Y106" s="25">
        <v>2</v>
      </c>
      <c r="Z106" s="25"/>
      <c r="AA106" s="49">
        <f t="shared" si="8"/>
        <v>2</v>
      </c>
      <c r="AG106" s="63">
        <f t="shared" si="9"/>
        <v>0</v>
      </c>
      <c r="AH106" s="59">
        <f t="shared" si="10"/>
        <v>0</v>
      </c>
      <c r="AI106" s="69">
        <f t="shared" si="11"/>
        <v>2</v>
      </c>
    </row>
    <row r="107" spans="1:35" s="11" customFormat="1" ht="27" customHeight="1" x14ac:dyDescent="0.2">
      <c r="A107" s="7" t="s">
        <v>101</v>
      </c>
      <c r="B107" s="7" t="s">
        <v>287</v>
      </c>
      <c r="C107" s="8" t="s">
        <v>697</v>
      </c>
      <c r="D107" s="24"/>
      <c r="E107" s="25"/>
      <c r="F107" s="25"/>
      <c r="G107" s="25">
        <v>2</v>
      </c>
      <c r="H107" s="25"/>
      <c r="I107" s="26">
        <f t="shared" si="6"/>
        <v>2</v>
      </c>
      <c r="J107" s="7" t="s">
        <v>101</v>
      </c>
      <c r="K107" s="7" t="s">
        <v>287</v>
      </c>
      <c r="L107" s="7" t="s">
        <v>927</v>
      </c>
      <c r="M107" s="24"/>
      <c r="N107" s="25"/>
      <c r="O107" s="25">
        <v>2</v>
      </c>
      <c r="P107" s="25"/>
      <c r="Q107" s="25"/>
      <c r="R107" s="31">
        <f t="shared" si="7"/>
        <v>2</v>
      </c>
      <c r="S107" s="7" t="s">
        <v>101</v>
      </c>
      <c r="T107" s="7" t="s">
        <v>287</v>
      </c>
      <c r="U107" s="7" t="s">
        <v>526</v>
      </c>
      <c r="V107" s="24"/>
      <c r="W107" s="25"/>
      <c r="X107" s="25"/>
      <c r="Y107" s="25">
        <v>1</v>
      </c>
      <c r="Z107" s="25"/>
      <c r="AA107" s="49">
        <f t="shared" si="8"/>
        <v>1</v>
      </c>
      <c r="AG107" s="63">
        <f t="shared" si="9"/>
        <v>2</v>
      </c>
      <c r="AH107" s="59">
        <f t="shared" si="10"/>
        <v>2</v>
      </c>
      <c r="AI107" s="69">
        <f t="shared" si="11"/>
        <v>1</v>
      </c>
    </row>
    <row r="108" spans="1:35" s="11" customFormat="1" ht="27" customHeight="1" x14ac:dyDescent="0.2">
      <c r="A108" s="7" t="s">
        <v>102</v>
      </c>
      <c r="B108" s="7" t="s">
        <v>288</v>
      </c>
      <c r="C108" s="8" t="s">
        <v>1018</v>
      </c>
      <c r="D108" s="24">
        <v>1</v>
      </c>
      <c r="E108" s="25"/>
      <c r="F108" s="25"/>
      <c r="G108" s="25">
        <v>2</v>
      </c>
      <c r="H108" s="25"/>
      <c r="I108" s="26">
        <f t="shared" si="6"/>
        <v>3</v>
      </c>
      <c r="J108" s="7" t="s">
        <v>102</v>
      </c>
      <c r="K108" s="7" t="s">
        <v>288</v>
      </c>
      <c r="L108" s="7" t="s">
        <v>402</v>
      </c>
      <c r="M108" s="24"/>
      <c r="N108" s="25"/>
      <c r="O108" s="25"/>
      <c r="P108" s="25"/>
      <c r="Q108" s="25">
        <v>2</v>
      </c>
      <c r="R108" s="31">
        <f t="shared" si="7"/>
        <v>1</v>
      </c>
      <c r="S108" s="7" t="s">
        <v>102</v>
      </c>
      <c r="T108" s="7" t="s">
        <v>288</v>
      </c>
      <c r="U108" s="7" t="s">
        <v>527</v>
      </c>
      <c r="V108" s="24">
        <v>2</v>
      </c>
      <c r="W108" s="25"/>
      <c r="X108" s="25"/>
      <c r="Y108" s="25">
        <v>2</v>
      </c>
      <c r="Z108" s="25"/>
      <c r="AA108" s="49">
        <f t="shared" si="8"/>
        <v>4</v>
      </c>
      <c r="AG108" s="63">
        <f t="shared" si="9"/>
        <v>2</v>
      </c>
      <c r="AH108" s="59">
        <f t="shared" si="10"/>
        <v>0</v>
      </c>
      <c r="AI108" s="69">
        <f t="shared" si="11"/>
        <v>2</v>
      </c>
    </row>
    <row r="109" spans="1:35" s="11" customFormat="1" ht="27" customHeight="1" x14ac:dyDescent="0.2">
      <c r="A109" s="7" t="s">
        <v>103</v>
      </c>
      <c r="B109" s="7" t="s">
        <v>289</v>
      </c>
      <c r="C109" s="8" t="s">
        <v>698</v>
      </c>
      <c r="D109" s="24"/>
      <c r="E109" s="25"/>
      <c r="F109" s="25"/>
      <c r="G109" s="25"/>
      <c r="H109" s="25"/>
      <c r="I109" s="26">
        <f t="shared" si="6"/>
        <v>0</v>
      </c>
      <c r="J109" s="7" t="s">
        <v>103</v>
      </c>
      <c r="K109" s="7" t="s">
        <v>289</v>
      </c>
      <c r="L109" s="7" t="s">
        <v>403</v>
      </c>
      <c r="M109" s="24"/>
      <c r="N109" s="25"/>
      <c r="O109" s="25"/>
      <c r="P109" s="25"/>
      <c r="Q109" s="25">
        <v>1</v>
      </c>
      <c r="R109" s="31">
        <f t="shared" si="7"/>
        <v>0.5</v>
      </c>
      <c r="S109" s="7" t="s">
        <v>103</v>
      </c>
      <c r="T109" s="7" t="s">
        <v>289</v>
      </c>
      <c r="U109" s="7" t="s">
        <v>528</v>
      </c>
      <c r="V109" s="24"/>
      <c r="W109" s="25"/>
      <c r="X109" s="25"/>
      <c r="Y109" s="25"/>
      <c r="Z109" s="25">
        <v>2</v>
      </c>
      <c r="AA109" s="49">
        <f t="shared" si="8"/>
        <v>1</v>
      </c>
      <c r="AG109" s="63">
        <f t="shared" si="9"/>
        <v>0</v>
      </c>
      <c r="AH109" s="59">
        <f t="shared" si="10"/>
        <v>0</v>
      </c>
      <c r="AI109" s="69">
        <f t="shared" si="11"/>
        <v>0</v>
      </c>
    </row>
    <row r="110" spans="1:35" s="11" customFormat="1" ht="27" customHeight="1" x14ac:dyDescent="0.2">
      <c r="A110" s="7" t="s">
        <v>104</v>
      </c>
      <c r="B110" s="7" t="s">
        <v>290</v>
      </c>
      <c r="C110" s="8" t="s">
        <v>1019</v>
      </c>
      <c r="D110" s="24"/>
      <c r="E110" s="25"/>
      <c r="F110" s="25"/>
      <c r="G110" s="25">
        <v>1</v>
      </c>
      <c r="H110" s="25"/>
      <c r="I110" s="26">
        <f t="shared" si="6"/>
        <v>1</v>
      </c>
      <c r="J110" s="7" t="s">
        <v>104</v>
      </c>
      <c r="K110" s="7" t="s">
        <v>290</v>
      </c>
      <c r="L110" s="7" t="s">
        <v>928</v>
      </c>
      <c r="M110" s="24"/>
      <c r="N110" s="25"/>
      <c r="O110" s="25"/>
      <c r="P110" s="25">
        <v>2</v>
      </c>
      <c r="Q110" s="25"/>
      <c r="R110" s="31">
        <f t="shared" si="7"/>
        <v>2</v>
      </c>
      <c r="S110" s="7" t="s">
        <v>104</v>
      </c>
      <c r="T110" s="7" t="s">
        <v>290</v>
      </c>
      <c r="U110" s="7" t="s">
        <v>529</v>
      </c>
      <c r="V110" s="24"/>
      <c r="W110" s="25"/>
      <c r="X110" s="25"/>
      <c r="Y110" s="25">
        <v>2</v>
      </c>
      <c r="Z110" s="25"/>
      <c r="AA110" s="49">
        <f t="shared" si="8"/>
        <v>2</v>
      </c>
      <c r="AG110" s="63">
        <f t="shared" si="9"/>
        <v>1</v>
      </c>
      <c r="AH110" s="59">
        <f t="shared" si="10"/>
        <v>2</v>
      </c>
      <c r="AI110" s="69">
        <f t="shared" si="11"/>
        <v>2</v>
      </c>
    </row>
    <row r="111" spans="1:35" s="11" customFormat="1" ht="27" customHeight="1" x14ac:dyDescent="0.2">
      <c r="A111" s="7" t="s">
        <v>105</v>
      </c>
      <c r="B111" s="7" t="s">
        <v>291</v>
      </c>
      <c r="C111" s="8" t="s">
        <v>699</v>
      </c>
      <c r="D111" s="24"/>
      <c r="E111" s="25"/>
      <c r="F111" s="25"/>
      <c r="G111" s="25"/>
      <c r="H111" s="25"/>
      <c r="I111" s="26">
        <f t="shared" si="6"/>
        <v>0</v>
      </c>
      <c r="J111" s="7" t="s">
        <v>105</v>
      </c>
      <c r="K111" s="7" t="s">
        <v>291</v>
      </c>
      <c r="L111" s="7" t="s">
        <v>404</v>
      </c>
      <c r="M111" s="24"/>
      <c r="N111" s="25"/>
      <c r="O111" s="25"/>
      <c r="P111" s="25"/>
      <c r="Q111" s="25"/>
      <c r="R111" s="31">
        <f t="shared" si="7"/>
        <v>0</v>
      </c>
      <c r="S111" s="7" t="s">
        <v>105</v>
      </c>
      <c r="T111" s="7" t="s">
        <v>291</v>
      </c>
      <c r="U111" s="7" t="s">
        <v>530</v>
      </c>
      <c r="V111" s="24"/>
      <c r="W111" s="25"/>
      <c r="X111" s="25"/>
      <c r="Y111" s="25">
        <v>2</v>
      </c>
      <c r="Z111" s="25"/>
      <c r="AA111" s="49">
        <f t="shared" si="8"/>
        <v>2</v>
      </c>
      <c r="AG111" s="63">
        <f t="shared" si="9"/>
        <v>0</v>
      </c>
      <c r="AH111" s="59">
        <f t="shared" si="10"/>
        <v>0</v>
      </c>
      <c r="AI111" s="69">
        <f t="shared" si="11"/>
        <v>2</v>
      </c>
    </row>
    <row r="112" spans="1:35" s="11" customFormat="1" ht="27" customHeight="1" x14ac:dyDescent="0.2">
      <c r="A112" s="7" t="s">
        <v>106</v>
      </c>
      <c r="B112" s="7" t="s">
        <v>292</v>
      </c>
      <c r="C112" s="8" t="s">
        <v>700</v>
      </c>
      <c r="D112" s="24">
        <v>1</v>
      </c>
      <c r="E112" s="25"/>
      <c r="F112" s="25"/>
      <c r="G112" s="25"/>
      <c r="H112" s="25"/>
      <c r="I112" s="26">
        <f t="shared" si="6"/>
        <v>1</v>
      </c>
      <c r="J112" s="7" t="s">
        <v>106</v>
      </c>
      <c r="K112" s="7" t="s">
        <v>292</v>
      </c>
      <c r="L112" s="7" t="s">
        <v>929</v>
      </c>
      <c r="M112" s="24"/>
      <c r="N112" s="25"/>
      <c r="O112" s="25"/>
      <c r="P112" s="25"/>
      <c r="Q112" s="25">
        <v>2</v>
      </c>
      <c r="R112" s="31">
        <f t="shared" si="7"/>
        <v>1</v>
      </c>
      <c r="S112" s="7" t="s">
        <v>106</v>
      </c>
      <c r="T112" s="7" t="s">
        <v>292</v>
      </c>
      <c r="U112" s="7" t="s">
        <v>531</v>
      </c>
      <c r="V112" s="24"/>
      <c r="W112" s="25"/>
      <c r="X112" s="25"/>
      <c r="Y112" s="25">
        <v>2</v>
      </c>
      <c r="Z112" s="25"/>
      <c r="AA112" s="49">
        <f t="shared" si="8"/>
        <v>2</v>
      </c>
      <c r="AG112" s="63">
        <f t="shared" si="9"/>
        <v>0</v>
      </c>
      <c r="AH112" s="59">
        <f t="shared" si="10"/>
        <v>0</v>
      </c>
      <c r="AI112" s="69">
        <f t="shared" si="11"/>
        <v>2</v>
      </c>
    </row>
    <row r="113" spans="1:42" s="12" customFormat="1" ht="27" customHeight="1" x14ac:dyDescent="0.2">
      <c r="A113" s="7" t="s">
        <v>796</v>
      </c>
      <c r="B113" s="7" t="s">
        <v>797</v>
      </c>
      <c r="C113" s="8" t="s">
        <v>825</v>
      </c>
      <c r="D113" s="24"/>
      <c r="E113" s="25"/>
      <c r="F113" s="25"/>
      <c r="G113" s="25">
        <v>2</v>
      </c>
      <c r="H113" s="25"/>
      <c r="I113" s="26">
        <f t="shared" si="6"/>
        <v>2</v>
      </c>
      <c r="J113" s="7" t="s">
        <v>796</v>
      </c>
      <c r="K113" s="7" t="s">
        <v>797</v>
      </c>
      <c r="L113" s="7" t="s">
        <v>930</v>
      </c>
      <c r="M113" s="24"/>
      <c r="N113" s="25"/>
      <c r="O113" s="25"/>
      <c r="P113" s="25"/>
      <c r="Q113" s="25"/>
      <c r="R113" s="31">
        <f t="shared" si="7"/>
        <v>0</v>
      </c>
      <c r="S113" s="7" t="s">
        <v>796</v>
      </c>
      <c r="T113" s="7" t="s">
        <v>797</v>
      </c>
      <c r="U113" s="7" t="s">
        <v>839</v>
      </c>
      <c r="V113" s="24"/>
      <c r="W113" s="25"/>
      <c r="X113" s="25"/>
      <c r="Y113" s="25">
        <v>2</v>
      </c>
      <c r="Z113" s="25"/>
      <c r="AA113" s="49">
        <f t="shared" si="8"/>
        <v>2</v>
      </c>
      <c r="AB113" s="11"/>
      <c r="AC113" s="11"/>
      <c r="AD113" s="11"/>
      <c r="AE113" s="11"/>
      <c r="AF113" s="11"/>
      <c r="AG113" s="63">
        <f t="shared" si="9"/>
        <v>2</v>
      </c>
      <c r="AH113" s="59">
        <f t="shared" si="10"/>
        <v>0</v>
      </c>
      <c r="AI113" s="69">
        <f t="shared" si="11"/>
        <v>2</v>
      </c>
      <c r="AJ113" s="11"/>
      <c r="AK113" s="11"/>
      <c r="AL113" s="11"/>
      <c r="AM113" s="11"/>
      <c r="AN113" s="11"/>
      <c r="AO113" s="11"/>
      <c r="AP113" s="11"/>
    </row>
    <row r="114" spans="1:42" s="11" customFormat="1" ht="27" customHeight="1" x14ac:dyDescent="0.2">
      <c r="A114" s="7" t="s">
        <v>107</v>
      </c>
      <c r="B114" s="7" t="s">
        <v>293</v>
      </c>
      <c r="C114" s="8" t="s">
        <v>701</v>
      </c>
      <c r="D114" s="24">
        <v>1</v>
      </c>
      <c r="E114" s="25"/>
      <c r="F114" s="25">
        <v>2</v>
      </c>
      <c r="G114" s="25"/>
      <c r="H114" s="25"/>
      <c r="I114" s="26">
        <f t="shared" si="6"/>
        <v>3</v>
      </c>
      <c r="J114" s="7" t="s">
        <v>107</v>
      </c>
      <c r="K114" s="7" t="s">
        <v>293</v>
      </c>
      <c r="L114" s="7" t="s">
        <v>931</v>
      </c>
      <c r="M114" s="24"/>
      <c r="N114" s="25"/>
      <c r="O114" s="25"/>
      <c r="P114" s="25"/>
      <c r="Q114" s="25">
        <v>2</v>
      </c>
      <c r="R114" s="31">
        <f t="shared" si="7"/>
        <v>1</v>
      </c>
      <c r="S114" s="7" t="s">
        <v>107</v>
      </c>
      <c r="T114" s="7" t="s">
        <v>293</v>
      </c>
      <c r="U114" s="7" t="s">
        <v>532</v>
      </c>
      <c r="V114" s="24"/>
      <c r="W114" s="25"/>
      <c r="X114" s="25">
        <v>2</v>
      </c>
      <c r="Y114" s="25"/>
      <c r="Z114" s="25"/>
      <c r="AA114" s="49">
        <f t="shared" si="8"/>
        <v>2</v>
      </c>
      <c r="AG114" s="63">
        <f t="shared" si="9"/>
        <v>2</v>
      </c>
      <c r="AH114" s="59">
        <f t="shared" si="10"/>
        <v>0</v>
      </c>
      <c r="AI114" s="69">
        <f t="shared" si="11"/>
        <v>2</v>
      </c>
    </row>
    <row r="115" spans="1:42" s="11" customFormat="1" ht="27" customHeight="1" x14ac:dyDescent="0.2">
      <c r="A115" s="7" t="s">
        <v>108</v>
      </c>
      <c r="B115" s="7" t="s">
        <v>294</v>
      </c>
      <c r="C115" s="9" t="s">
        <v>702</v>
      </c>
      <c r="D115" s="27"/>
      <c r="E115" s="25"/>
      <c r="F115" s="25">
        <v>1</v>
      </c>
      <c r="G115" s="25"/>
      <c r="H115" s="25"/>
      <c r="I115" s="26">
        <f t="shared" si="6"/>
        <v>1</v>
      </c>
      <c r="J115" s="7" t="s">
        <v>108</v>
      </c>
      <c r="K115" s="7" t="s">
        <v>294</v>
      </c>
      <c r="L115" s="7" t="s">
        <v>932</v>
      </c>
      <c r="M115" s="27"/>
      <c r="N115" s="25"/>
      <c r="O115" s="25">
        <v>2</v>
      </c>
      <c r="P115" s="25"/>
      <c r="Q115" s="25"/>
      <c r="R115" s="31">
        <f t="shared" si="7"/>
        <v>2</v>
      </c>
      <c r="S115" s="7" t="s">
        <v>108</v>
      </c>
      <c r="T115" s="7" t="s">
        <v>294</v>
      </c>
      <c r="U115" s="7" t="s">
        <v>533</v>
      </c>
      <c r="V115" s="27"/>
      <c r="W115" s="25"/>
      <c r="X115" s="25">
        <v>2</v>
      </c>
      <c r="Y115" s="25"/>
      <c r="Z115" s="25"/>
      <c r="AA115" s="49">
        <f t="shared" si="8"/>
        <v>2</v>
      </c>
      <c r="AG115" s="63">
        <f t="shared" si="9"/>
        <v>1</v>
      </c>
      <c r="AH115" s="59">
        <f t="shared" si="10"/>
        <v>2</v>
      </c>
      <c r="AI115" s="69">
        <f t="shared" si="11"/>
        <v>2</v>
      </c>
    </row>
    <row r="116" spans="1:42" s="11" customFormat="1" ht="27" customHeight="1" x14ac:dyDescent="0.2">
      <c r="A116" s="7" t="s">
        <v>109</v>
      </c>
      <c r="B116" s="7" t="s">
        <v>295</v>
      </c>
      <c r="C116" s="8" t="s">
        <v>703</v>
      </c>
      <c r="D116" s="24"/>
      <c r="E116" s="25"/>
      <c r="F116" s="25">
        <v>1</v>
      </c>
      <c r="G116" s="25"/>
      <c r="H116" s="25"/>
      <c r="I116" s="26">
        <f t="shared" si="6"/>
        <v>1</v>
      </c>
      <c r="J116" s="7" t="s">
        <v>109</v>
      </c>
      <c r="K116" s="7" t="s">
        <v>295</v>
      </c>
      <c r="L116" s="7" t="s">
        <v>933</v>
      </c>
      <c r="M116" s="24"/>
      <c r="N116" s="25"/>
      <c r="O116" s="25"/>
      <c r="P116" s="25"/>
      <c r="Q116" s="25"/>
      <c r="R116" s="31">
        <f t="shared" si="7"/>
        <v>0</v>
      </c>
      <c r="S116" s="7" t="s">
        <v>109</v>
      </c>
      <c r="T116" s="7" t="s">
        <v>295</v>
      </c>
      <c r="U116" s="7" t="s">
        <v>534</v>
      </c>
      <c r="V116" s="24"/>
      <c r="W116" s="25"/>
      <c r="X116" s="25">
        <v>2</v>
      </c>
      <c r="Y116" s="25"/>
      <c r="Z116" s="25"/>
      <c r="AA116" s="49">
        <f t="shared" si="8"/>
        <v>2</v>
      </c>
      <c r="AG116" s="63">
        <f t="shared" si="9"/>
        <v>1</v>
      </c>
      <c r="AH116" s="59">
        <f t="shared" si="10"/>
        <v>0</v>
      </c>
      <c r="AI116" s="69">
        <f t="shared" si="11"/>
        <v>2</v>
      </c>
    </row>
    <row r="117" spans="1:42" s="11" customFormat="1" ht="27" customHeight="1" x14ac:dyDescent="0.2">
      <c r="A117" s="7" t="s">
        <v>110</v>
      </c>
      <c r="B117" s="7" t="s">
        <v>296</v>
      </c>
      <c r="C117" s="8" t="s">
        <v>1020</v>
      </c>
      <c r="D117" s="24"/>
      <c r="E117" s="25"/>
      <c r="F117" s="25">
        <v>1</v>
      </c>
      <c r="G117" s="25"/>
      <c r="H117" s="25"/>
      <c r="I117" s="26">
        <f t="shared" si="6"/>
        <v>1</v>
      </c>
      <c r="J117" s="7" t="s">
        <v>110</v>
      </c>
      <c r="K117" s="7" t="s">
        <v>296</v>
      </c>
      <c r="L117" s="7" t="s">
        <v>934</v>
      </c>
      <c r="M117" s="24">
        <v>1</v>
      </c>
      <c r="N117" s="25"/>
      <c r="O117" s="25"/>
      <c r="P117" s="25"/>
      <c r="Q117" s="25"/>
      <c r="R117" s="31">
        <f t="shared" si="7"/>
        <v>1</v>
      </c>
      <c r="S117" s="7" t="s">
        <v>110</v>
      </c>
      <c r="T117" s="7" t="s">
        <v>296</v>
      </c>
      <c r="U117" s="7" t="s">
        <v>535</v>
      </c>
      <c r="V117" s="24"/>
      <c r="W117" s="25"/>
      <c r="X117" s="25">
        <v>1</v>
      </c>
      <c r="Y117" s="25"/>
      <c r="Z117" s="25"/>
      <c r="AA117" s="49">
        <f t="shared" si="8"/>
        <v>1</v>
      </c>
      <c r="AG117" s="63">
        <f t="shared" si="9"/>
        <v>1</v>
      </c>
      <c r="AH117" s="59">
        <f t="shared" si="10"/>
        <v>0</v>
      </c>
      <c r="AI117" s="69">
        <f t="shared" si="11"/>
        <v>1</v>
      </c>
    </row>
    <row r="118" spans="1:42" s="11" customFormat="1" ht="27" customHeight="1" x14ac:dyDescent="0.2">
      <c r="A118" s="7" t="s">
        <v>111</v>
      </c>
      <c r="B118" s="7" t="s">
        <v>297</v>
      </c>
      <c r="C118" s="8" t="s">
        <v>704</v>
      </c>
      <c r="D118" s="24"/>
      <c r="E118" s="25"/>
      <c r="F118" s="25"/>
      <c r="G118" s="25"/>
      <c r="H118" s="25">
        <v>1</v>
      </c>
      <c r="I118" s="26">
        <f t="shared" si="6"/>
        <v>0.5</v>
      </c>
      <c r="J118" s="7" t="s">
        <v>111</v>
      </c>
      <c r="K118" s="7" t="s">
        <v>297</v>
      </c>
      <c r="L118" s="7" t="s">
        <v>405</v>
      </c>
      <c r="M118" s="24"/>
      <c r="N118" s="25"/>
      <c r="O118" s="25"/>
      <c r="P118" s="25"/>
      <c r="Q118" s="25"/>
      <c r="R118" s="31">
        <f t="shared" si="7"/>
        <v>0</v>
      </c>
      <c r="S118" s="7" t="s">
        <v>111</v>
      </c>
      <c r="T118" s="7" t="s">
        <v>297</v>
      </c>
      <c r="U118" s="7" t="s">
        <v>536</v>
      </c>
      <c r="V118" s="24"/>
      <c r="W118" s="25"/>
      <c r="X118" s="25"/>
      <c r="Y118" s="25"/>
      <c r="Z118" s="25"/>
      <c r="AA118" s="49">
        <f t="shared" si="8"/>
        <v>0</v>
      </c>
      <c r="AG118" s="63">
        <f t="shared" si="9"/>
        <v>0</v>
      </c>
      <c r="AH118" s="59">
        <f t="shared" si="10"/>
        <v>0</v>
      </c>
      <c r="AI118" s="69">
        <f t="shared" si="11"/>
        <v>0</v>
      </c>
    </row>
    <row r="119" spans="1:42" s="11" customFormat="1" ht="27" customHeight="1" x14ac:dyDescent="0.2">
      <c r="A119" s="7" t="s">
        <v>112</v>
      </c>
      <c r="B119" s="7" t="s">
        <v>298</v>
      </c>
      <c r="C119" s="9" t="s">
        <v>1021</v>
      </c>
      <c r="D119" s="27"/>
      <c r="E119" s="25"/>
      <c r="F119" s="25"/>
      <c r="G119" s="25"/>
      <c r="H119" s="25">
        <v>2</v>
      </c>
      <c r="I119" s="26">
        <f t="shared" si="6"/>
        <v>1</v>
      </c>
      <c r="J119" s="7" t="s">
        <v>112</v>
      </c>
      <c r="K119" s="7" t="s">
        <v>298</v>
      </c>
      <c r="L119" s="7" t="s">
        <v>935</v>
      </c>
      <c r="M119" s="27"/>
      <c r="N119" s="25"/>
      <c r="O119" s="25"/>
      <c r="P119" s="25"/>
      <c r="Q119" s="25">
        <v>2</v>
      </c>
      <c r="R119" s="31">
        <f t="shared" si="7"/>
        <v>1</v>
      </c>
      <c r="S119" s="7" t="s">
        <v>112</v>
      </c>
      <c r="T119" s="7" t="s">
        <v>298</v>
      </c>
      <c r="U119" s="7" t="s">
        <v>537</v>
      </c>
      <c r="V119" s="27"/>
      <c r="W119" s="25"/>
      <c r="X119" s="25"/>
      <c r="Y119" s="25">
        <v>2</v>
      </c>
      <c r="Z119" s="25"/>
      <c r="AA119" s="49">
        <f t="shared" si="8"/>
        <v>2</v>
      </c>
      <c r="AG119" s="63">
        <f t="shared" si="9"/>
        <v>0</v>
      </c>
      <c r="AH119" s="59">
        <f t="shared" si="10"/>
        <v>0</v>
      </c>
      <c r="AI119" s="69">
        <f t="shared" si="11"/>
        <v>2</v>
      </c>
    </row>
    <row r="120" spans="1:42" s="12" customFormat="1" ht="27" customHeight="1" x14ac:dyDescent="0.2">
      <c r="A120" s="7" t="s">
        <v>798</v>
      </c>
      <c r="B120" s="7" t="s">
        <v>799</v>
      </c>
      <c r="C120" s="8" t="s">
        <v>826</v>
      </c>
      <c r="D120" s="24"/>
      <c r="E120" s="25"/>
      <c r="F120" s="25"/>
      <c r="G120" s="25">
        <v>1</v>
      </c>
      <c r="H120" s="25"/>
      <c r="I120" s="26">
        <f t="shared" si="6"/>
        <v>1</v>
      </c>
      <c r="J120" s="7" t="s">
        <v>798</v>
      </c>
      <c r="K120" s="7" t="s">
        <v>799</v>
      </c>
      <c r="L120" s="7" t="s">
        <v>936</v>
      </c>
      <c r="M120" s="24"/>
      <c r="N120" s="25"/>
      <c r="O120" s="25"/>
      <c r="P120" s="25">
        <v>1</v>
      </c>
      <c r="Q120" s="25"/>
      <c r="R120" s="31">
        <f t="shared" si="7"/>
        <v>1</v>
      </c>
      <c r="S120" s="7" t="s">
        <v>798</v>
      </c>
      <c r="T120" s="7" t="s">
        <v>799</v>
      </c>
      <c r="U120" s="7" t="s">
        <v>840</v>
      </c>
      <c r="V120" s="24"/>
      <c r="W120" s="25"/>
      <c r="X120" s="25"/>
      <c r="Y120" s="25">
        <v>2</v>
      </c>
      <c r="Z120" s="25"/>
      <c r="AA120" s="49">
        <f t="shared" si="8"/>
        <v>2</v>
      </c>
      <c r="AB120" s="11"/>
      <c r="AC120" s="11"/>
      <c r="AD120" s="11"/>
      <c r="AE120" s="11"/>
      <c r="AF120" s="11"/>
      <c r="AG120" s="63">
        <f t="shared" si="9"/>
        <v>1</v>
      </c>
      <c r="AH120" s="59">
        <f t="shared" si="10"/>
        <v>1</v>
      </c>
      <c r="AI120" s="69">
        <f t="shared" si="11"/>
        <v>2</v>
      </c>
      <c r="AJ120" s="11"/>
      <c r="AK120" s="11"/>
      <c r="AL120" s="11"/>
      <c r="AM120" s="11"/>
      <c r="AN120" s="11"/>
      <c r="AO120" s="11"/>
      <c r="AP120" s="11"/>
    </row>
    <row r="121" spans="1:42" s="11" customFormat="1" ht="27" customHeight="1" x14ac:dyDescent="0.2">
      <c r="A121" s="7" t="s">
        <v>113</v>
      </c>
      <c r="B121" s="7" t="s">
        <v>299</v>
      </c>
      <c r="C121" s="8" t="s">
        <v>705</v>
      </c>
      <c r="D121" s="24"/>
      <c r="E121" s="25"/>
      <c r="F121" s="25">
        <v>2</v>
      </c>
      <c r="G121" s="25"/>
      <c r="H121" s="25"/>
      <c r="I121" s="26">
        <f t="shared" si="6"/>
        <v>2</v>
      </c>
      <c r="J121" s="7" t="s">
        <v>113</v>
      </c>
      <c r="K121" s="7" t="s">
        <v>299</v>
      </c>
      <c r="L121" s="7" t="s">
        <v>937</v>
      </c>
      <c r="M121" s="24"/>
      <c r="N121" s="25"/>
      <c r="O121" s="25"/>
      <c r="P121" s="25"/>
      <c r="Q121" s="25">
        <v>2</v>
      </c>
      <c r="R121" s="31">
        <f t="shared" si="7"/>
        <v>1</v>
      </c>
      <c r="S121" s="7" t="s">
        <v>113</v>
      </c>
      <c r="T121" s="7" t="s">
        <v>299</v>
      </c>
      <c r="U121" s="7" t="s">
        <v>538</v>
      </c>
      <c r="V121" s="24"/>
      <c r="W121" s="25"/>
      <c r="X121" s="25">
        <v>2</v>
      </c>
      <c r="Y121" s="25"/>
      <c r="Z121" s="25"/>
      <c r="AA121" s="49">
        <f t="shared" si="8"/>
        <v>2</v>
      </c>
      <c r="AG121" s="63">
        <f t="shared" si="9"/>
        <v>2</v>
      </c>
      <c r="AH121" s="59">
        <f t="shared" si="10"/>
        <v>0</v>
      </c>
      <c r="AI121" s="69">
        <f t="shared" si="11"/>
        <v>2</v>
      </c>
    </row>
    <row r="122" spans="1:42" s="11" customFormat="1" ht="27" customHeight="1" x14ac:dyDescent="0.2">
      <c r="A122" s="7" t="s">
        <v>114</v>
      </c>
      <c r="B122" s="7" t="s">
        <v>300</v>
      </c>
      <c r="C122" s="8" t="s">
        <v>706</v>
      </c>
      <c r="D122" s="24"/>
      <c r="E122" s="25"/>
      <c r="F122" s="25">
        <v>2</v>
      </c>
      <c r="G122" s="25"/>
      <c r="H122" s="25"/>
      <c r="I122" s="26">
        <f t="shared" si="6"/>
        <v>2</v>
      </c>
      <c r="J122" s="7" t="s">
        <v>114</v>
      </c>
      <c r="K122" s="7" t="s">
        <v>300</v>
      </c>
      <c r="L122" s="7" t="s">
        <v>938</v>
      </c>
      <c r="M122" s="24">
        <v>2</v>
      </c>
      <c r="N122" s="25"/>
      <c r="O122" s="25"/>
      <c r="P122" s="25"/>
      <c r="Q122" s="25">
        <v>1</v>
      </c>
      <c r="R122" s="31">
        <f t="shared" si="7"/>
        <v>2.5</v>
      </c>
      <c r="S122" s="7" t="s">
        <v>114</v>
      </c>
      <c r="T122" s="7" t="s">
        <v>300</v>
      </c>
      <c r="U122" s="7" t="s">
        <v>539</v>
      </c>
      <c r="V122" s="24"/>
      <c r="W122" s="25"/>
      <c r="X122" s="25">
        <v>2</v>
      </c>
      <c r="Y122" s="25"/>
      <c r="Z122" s="25"/>
      <c r="AA122" s="49">
        <f t="shared" si="8"/>
        <v>2</v>
      </c>
      <c r="AG122" s="63">
        <f t="shared" si="9"/>
        <v>2</v>
      </c>
      <c r="AH122" s="59">
        <f t="shared" si="10"/>
        <v>0</v>
      </c>
      <c r="AI122" s="69">
        <f t="shared" si="11"/>
        <v>2</v>
      </c>
    </row>
    <row r="123" spans="1:42" s="11" customFormat="1" ht="27" customHeight="1" x14ac:dyDescent="0.2">
      <c r="A123" s="7" t="s">
        <v>115</v>
      </c>
      <c r="B123" s="7" t="s">
        <v>301</v>
      </c>
      <c r="C123" s="8" t="s">
        <v>707</v>
      </c>
      <c r="D123" s="24"/>
      <c r="E123" s="25"/>
      <c r="F123" s="25"/>
      <c r="G123" s="25"/>
      <c r="H123" s="25">
        <v>2</v>
      </c>
      <c r="I123" s="26">
        <f t="shared" si="6"/>
        <v>1</v>
      </c>
      <c r="J123" s="7" t="s">
        <v>115</v>
      </c>
      <c r="K123" s="7" t="s">
        <v>301</v>
      </c>
      <c r="L123" s="7" t="s">
        <v>939</v>
      </c>
      <c r="M123" s="24"/>
      <c r="N123" s="25"/>
      <c r="O123" s="25"/>
      <c r="P123" s="25"/>
      <c r="Q123" s="25"/>
      <c r="R123" s="31">
        <f t="shared" si="7"/>
        <v>0</v>
      </c>
      <c r="S123" s="7" t="s">
        <v>115</v>
      </c>
      <c r="T123" s="7" t="s">
        <v>301</v>
      </c>
      <c r="U123" s="7" t="s">
        <v>540</v>
      </c>
      <c r="V123" s="24"/>
      <c r="W123" s="25"/>
      <c r="X123" s="25"/>
      <c r="Y123" s="25">
        <v>2</v>
      </c>
      <c r="Z123" s="25"/>
      <c r="AA123" s="49">
        <f t="shared" si="8"/>
        <v>2</v>
      </c>
      <c r="AG123" s="63">
        <f t="shared" si="9"/>
        <v>0</v>
      </c>
      <c r="AH123" s="59">
        <f t="shared" si="10"/>
        <v>0</v>
      </c>
      <c r="AI123" s="69">
        <f t="shared" si="11"/>
        <v>2</v>
      </c>
    </row>
    <row r="124" spans="1:42" s="11" customFormat="1" ht="27" customHeight="1" x14ac:dyDescent="0.2">
      <c r="A124" s="7" t="s">
        <v>116</v>
      </c>
      <c r="B124" s="7" t="s">
        <v>302</v>
      </c>
      <c r="C124" s="8" t="s">
        <v>708</v>
      </c>
      <c r="D124" s="24"/>
      <c r="E124" s="25"/>
      <c r="F124" s="25"/>
      <c r="G124" s="25"/>
      <c r="H124" s="25">
        <v>2</v>
      </c>
      <c r="I124" s="26">
        <f t="shared" si="6"/>
        <v>1</v>
      </c>
      <c r="J124" s="7" t="s">
        <v>116</v>
      </c>
      <c r="K124" s="7" t="s">
        <v>302</v>
      </c>
      <c r="L124" s="7" t="s">
        <v>940</v>
      </c>
      <c r="M124" s="24"/>
      <c r="N124" s="25"/>
      <c r="O124" s="25"/>
      <c r="P124" s="25"/>
      <c r="Q124" s="25">
        <v>1</v>
      </c>
      <c r="R124" s="31">
        <f t="shared" si="7"/>
        <v>0.5</v>
      </c>
      <c r="S124" s="7" t="s">
        <v>116</v>
      </c>
      <c r="T124" s="7" t="s">
        <v>302</v>
      </c>
      <c r="U124" s="7" t="s">
        <v>541</v>
      </c>
      <c r="V124" s="24"/>
      <c r="W124" s="25"/>
      <c r="X124" s="25"/>
      <c r="Y124" s="25"/>
      <c r="Z124" s="25">
        <v>2</v>
      </c>
      <c r="AA124" s="49">
        <f t="shared" si="8"/>
        <v>1</v>
      </c>
      <c r="AG124" s="63">
        <f t="shared" si="9"/>
        <v>0</v>
      </c>
      <c r="AH124" s="59">
        <f t="shared" si="10"/>
        <v>0</v>
      </c>
      <c r="AI124" s="69">
        <f t="shared" si="11"/>
        <v>0</v>
      </c>
    </row>
    <row r="125" spans="1:42" s="11" customFormat="1" ht="27" customHeight="1" x14ac:dyDescent="0.2">
      <c r="A125" s="7" t="s">
        <v>117</v>
      </c>
      <c r="B125" s="7" t="s">
        <v>303</v>
      </c>
      <c r="C125" s="8" t="s">
        <v>709</v>
      </c>
      <c r="D125" s="24"/>
      <c r="E125" s="25"/>
      <c r="F125" s="25"/>
      <c r="G125" s="25"/>
      <c r="H125" s="25"/>
      <c r="I125" s="26">
        <f t="shared" si="6"/>
        <v>0</v>
      </c>
      <c r="J125" s="7" t="s">
        <v>117</v>
      </c>
      <c r="K125" s="7" t="s">
        <v>303</v>
      </c>
      <c r="L125" s="7" t="s">
        <v>941</v>
      </c>
      <c r="M125" s="24"/>
      <c r="N125" s="25"/>
      <c r="O125" s="25"/>
      <c r="P125" s="25"/>
      <c r="Q125" s="25"/>
      <c r="R125" s="31">
        <f t="shared" si="7"/>
        <v>0</v>
      </c>
      <c r="S125" s="7" t="s">
        <v>117</v>
      </c>
      <c r="T125" s="7" t="s">
        <v>303</v>
      </c>
      <c r="U125" s="7" t="s">
        <v>542</v>
      </c>
      <c r="V125" s="24"/>
      <c r="W125" s="25"/>
      <c r="X125" s="25">
        <v>2</v>
      </c>
      <c r="Y125" s="25"/>
      <c r="Z125" s="25"/>
      <c r="AA125" s="49">
        <f t="shared" si="8"/>
        <v>2</v>
      </c>
      <c r="AG125" s="63">
        <f t="shared" si="9"/>
        <v>0</v>
      </c>
      <c r="AH125" s="59">
        <f t="shared" si="10"/>
        <v>0</v>
      </c>
      <c r="AI125" s="69">
        <f t="shared" si="11"/>
        <v>2</v>
      </c>
    </row>
    <row r="126" spans="1:42" s="11" customFormat="1" ht="27" customHeight="1" x14ac:dyDescent="0.2">
      <c r="A126" s="7" t="s">
        <v>118</v>
      </c>
      <c r="B126" s="7" t="s">
        <v>304</v>
      </c>
      <c r="C126" s="8" t="s">
        <v>710</v>
      </c>
      <c r="D126" s="24"/>
      <c r="E126" s="25"/>
      <c r="F126" s="25"/>
      <c r="G126" s="25">
        <v>1</v>
      </c>
      <c r="H126" s="25"/>
      <c r="I126" s="26">
        <f t="shared" si="6"/>
        <v>1</v>
      </c>
      <c r="J126" s="7" t="s">
        <v>118</v>
      </c>
      <c r="K126" s="7" t="s">
        <v>304</v>
      </c>
      <c r="L126" s="7" t="s">
        <v>942</v>
      </c>
      <c r="M126" s="24"/>
      <c r="N126" s="25"/>
      <c r="O126" s="25"/>
      <c r="P126" s="25">
        <v>2</v>
      </c>
      <c r="Q126" s="25"/>
      <c r="R126" s="31">
        <f t="shared" si="7"/>
        <v>2</v>
      </c>
      <c r="S126" s="7" t="s">
        <v>118</v>
      </c>
      <c r="T126" s="7" t="s">
        <v>304</v>
      </c>
      <c r="U126" s="7" t="s">
        <v>543</v>
      </c>
      <c r="V126" s="24"/>
      <c r="W126" s="25"/>
      <c r="X126" s="25">
        <v>2</v>
      </c>
      <c r="Y126" s="25"/>
      <c r="Z126" s="25"/>
      <c r="AA126" s="49">
        <f t="shared" si="8"/>
        <v>2</v>
      </c>
      <c r="AG126" s="63">
        <f t="shared" si="9"/>
        <v>1</v>
      </c>
      <c r="AH126" s="59">
        <f t="shared" si="10"/>
        <v>2</v>
      </c>
      <c r="AI126" s="69">
        <f t="shared" si="11"/>
        <v>2</v>
      </c>
    </row>
    <row r="127" spans="1:42" s="12" customFormat="1" ht="27" customHeight="1" x14ac:dyDescent="0.2">
      <c r="A127" s="7" t="s">
        <v>800</v>
      </c>
      <c r="B127" s="7" t="s">
        <v>801</v>
      </c>
      <c r="C127" s="8" t="s">
        <v>827</v>
      </c>
      <c r="D127" s="24"/>
      <c r="E127" s="25"/>
      <c r="F127" s="25"/>
      <c r="G127" s="25"/>
      <c r="H127" s="25"/>
      <c r="I127" s="26">
        <f t="shared" si="6"/>
        <v>0</v>
      </c>
      <c r="J127" s="7" t="s">
        <v>800</v>
      </c>
      <c r="K127" s="7" t="s">
        <v>801</v>
      </c>
      <c r="L127" s="7" t="s">
        <v>943</v>
      </c>
      <c r="M127" s="24"/>
      <c r="N127" s="25"/>
      <c r="O127" s="25"/>
      <c r="P127" s="25">
        <v>1</v>
      </c>
      <c r="Q127" s="25"/>
      <c r="R127" s="31">
        <f t="shared" si="7"/>
        <v>1</v>
      </c>
      <c r="S127" s="7" t="s">
        <v>800</v>
      </c>
      <c r="T127" s="7" t="s">
        <v>801</v>
      </c>
      <c r="U127" s="7" t="s">
        <v>841</v>
      </c>
      <c r="V127" s="24"/>
      <c r="W127" s="25"/>
      <c r="X127" s="25"/>
      <c r="Y127" s="25">
        <v>1</v>
      </c>
      <c r="Z127" s="25"/>
      <c r="AA127" s="49">
        <f t="shared" si="8"/>
        <v>1</v>
      </c>
      <c r="AB127" s="11"/>
      <c r="AC127" s="11"/>
      <c r="AD127" s="11"/>
      <c r="AE127" s="11"/>
      <c r="AF127" s="11"/>
      <c r="AG127" s="63">
        <f t="shared" si="9"/>
        <v>0</v>
      </c>
      <c r="AH127" s="59">
        <f t="shared" si="10"/>
        <v>1</v>
      </c>
      <c r="AI127" s="69">
        <f t="shared" si="11"/>
        <v>1</v>
      </c>
      <c r="AJ127" s="11"/>
      <c r="AK127" s="11"/>
      <c r="AL127" s="11"/>
      <c r="AM127" s="11"/>
      <c r="AN127" s="11"/>
      <c r="AO127" s="11"/>
      <c r="AP127" s="11"/>
    </row>
    <row r="128" spans="1:42" s="11" customFormat="1" ht="27" customHeight="1" x14ac:dyDescent="0.2">
      <c r="A128" s="7" t="s">
        <v>119</v>
      </c>
      <c r="B128" s="7" t="s">
        <v>305</v>
      </c>
      <c r="C128" s="8" t="s">
        <v>711</v>
      </c>
      <c r="D128" s="24"/>
      <c r="E128" s="25"/>
      <c r="F128" s="25"/>
      <c r="G128" s="25">
        <v>1</v>
      </c>
      <c r="H128" s="25"/>
      <c r="I128" s="26">
        <f t="shared" si="6"/>
        <v>1</v>
      </c>
      <c r="J128" s="7" t="s">
        <v>119</v>
      </c>
      <c r="K128" s="7" t="s">
        <v>305</v>
      </c>
      <c r="L128" s="7" t="s">
        <v>944</v>
      </c>
      <c r="M128" s="24"/>
      <c r="N128" s="25"/>
      <c r="O128" s="25"/>
      <c r="P128" s="25"/>
      <c r="Q128" s="25"/>
      <c r="R128" s="31">
        <f t="shared" si="7"/>
        <v>0</v>
      </c>
      <c r="S128" s="7" t="s">
        <v>119</v>
      </c>
      <c r="T128" s="7" t="s">
        <v>305</v>
      </c>
      <c r="U128" s="7" t="s">
        <v>544</v>
      </c>
      <c r="V128" s="24">
        <v>2</v>
      </c>
      <c r="W128" s="25"/>
      <c r="X128" s="25"/>
      <c r="Y128" s="25"/>
      <c r="Z128" s="25"/>
      <c r="AA128" s="49">
        <f t="shared" si="8"/>
        <v>2</v>
      </c>
      <c r="AG128" s="63">
        <f t="shared" si="9"/>
        <v>1</v>
      </c>
      <c r="AH128" s="59">
        <f t="shared" si="10"/>
        <v>0</v>
      </c>
      <c r="AI128" s="69">
        <f t="shared" si="11"/>
        <v>0</v>
      </c>
    </row>
    <row r="129" spans="1:42" s="11" customFormat="1" ht="27" customHeight="1" x14ac:dyDescent="0.2">
      <c r="A129" s="7" t="s">
        <v>120</v>
      </c>
      <c r="B129" s="7" t="s">
        <v>306</v>
      </c>
      <c r="C129" s="8" t="s">
        <v>712</v>
      </c>
      <c r="D129" s="24"/>
      <c r="E129" s="25"/>
      <c r="F129" s="25"/>
      <c r="G129" s="25"/>
      <c r="H129" s="25"/>
      <c r="I129" s="26">
        <f t="shared" si="6"/>
        <v>0</v>
      </c>
      <c r="J129" s="7" t="s">
        <v>120</v>
      </c>
      <c r="K129" s="7" t="s">
        <v>306</v>
      </c>
      <c r="L129" s="7" t="s">
        <v>945</v>
      </c>
      <c r="M129" s="24">
        <v>1</v>
      </c>
      <c r="N129" s="25"/>
      <c r="O129" s="25"/>
      <c r="P129" s="25"/>
      <c r="Q129" s="25"/>
      <c r="R129" s="31">
        <f t="shared" si="7"/>
        <v>1</v>
      </c>
      <c r="S129" s="7" t="s">
        <v>120</v>
      </c>
      <c r="T129" s="7" t="s">
        <v>306</v>
      </c>
      <c r="U129" s="7" t="s">
        <v>545</v>
      </c>
      <c r="V129" s="24"/>
      <c r="W129" s="25"/>
      <c r="X129" s="25"/>
      <c r="Y129" s="25"/>
      <c r="Z129" s="25"/>
      <c r="AA129" s="49">
        <f t="shared" si="8"/>
        <v>0</v>
      </c>
      <c r="AG129" s="63">
        <f t="shared" si="9"/>
        <v>0</v>
      </c>
      <c r="AH129" s="59">
        <f t="shared" si="10"/>
        <v>0</v>
      </c>
      <c r="AI129" s="69">
        <f t="shared" si="11"/>
        <v>0</v>
      </c>
    </row>
    <row r="130" spans="1:42" s="11" customFormat="1" ht="27" customHeight="1" x14ac:dyDescent="0.2">
      <c r="A130" s="7" t="s">
        <v>121</v>
      </c>
      <c r="B130" s="7" t="s">
        <v>307</v>
      </c>
      <c r="C130" s="8" t="s">
        <v>713</v>
      </c>
      <c r="D130" s="24"/>
      <c r="E130" s="25"/>
      <c r="F130" s="25">
        <v>1</v>
      </c>
      <c r="G130" s="25"/>
      <c r="H130" s="25"/>
      <c r="I130" s="26">
        <f t="shared" si="6"/>
        <v>1</v>
      </c>
      <c r="J130" s="7" t="s">
        <v>121</v>
      </c>
      <c r="K130" s="7" t="s">
        <v>307</v>
      </c>
      <c r="L130" s="7" t="s">
        <v>946</v>
      </c>
      <c r="M130" s="24"/>
      <c r="N130" s="25"/>
      <c r="O130" s="25"/>
      <c r="P130" s="25">
        <v>2</v>
      </c>
      <c r="Q130" s="25"/>
      <c r="R130" s="31">
        <f t="shared" si="7"/>
        <v>2</v>
      </c>
      <c r="S130" s="7" t="s">
        <v>121</v>
      </c>
      <c r="T130" s="7" t="s">
        <v>307</v>
      </c>
      <c r="U130" s="7" t="s">
        <v>546</v>
      </c>
      <c r="V130" s="24"/>
      <c r="W130" s="25"/>
      <c r="X130" s="25">
        <v>2</v>
      </c>
      <c r="Y130" s="25"/>
      <c r="Z130" s="25"/>
      <c r="AA130" s="49">
        <f t="shared" si="8"/>
        <v>2</v>
      </c>
      <c r="AG130" s="63">
        <f t="shared" si="9"/>
        <v>1</v>
      </c>
      <c r="AH130" s="59">
        <f t="shared" si="10"/>
        <v>2</v>
      </c>
      <c r="AI130" s="69">
        <f t="shared" si="11"/>
        <v>2</v>
      </c>
    </row>
    <row r="131" spans="1:42" s="11" customFormat="1" ht="27" customHeight="1" x14ac:dyDescent="0.2">
      <c r="A131" s="7" t="s">
        <v>122</v>
      </c>
      <c r="B131" s="7" t="s">
        <v>308</v>
      </c>
      <c r="C131" s="8" t="s">
        <v>714</v>
      </c>
      <c r="D131" s="24"/>
      <c r="E131" s="25"/>
      <c r="F131" s="25"/>
      <c r="G131" s="25"/>
      <c r="H131" s="25">
        <v>1</v>
      </c>
      <c r="I131" s="26">
        <f t="shared" ref="I131:I194" si="12">SUM(D131:G131)+(H131/2)</f>
        <v>0.5</v>
      </c>
      <c r="J131" s="7" t="s">
        <v>122</v>
      </c>
      <c r="K131" s="7" t="s">
        <v>308</v>
      </c>
      <c r="L131" s="7" t="s">
        <v>406</v>
      </c>
      <c r="M131" s="24"/>
      <c r="N131" s="25"/>
      <c r="O131" s="25"/>
      <c r="P131" s="25"/>
      <c r="Q131" s="25"/>
      <c r="R131" s="31">
        <f t="shared" ref="R131:R194" si="13">SUM(M131:P131)+(Q131/2)</f>
        <v>0</v>
      </c>
      <c r="S131" s="7" t="s">
        <v>122</v>
      </c>
      <c r="T131" s="7" t="s">
        <v>308</v>
      </c>
      <c r="U131" s="7" t="s">
        <v>547</v>
      </c>
      <c r="V131" s="24"/>
      <c r="W131" s="25"/>
      <c r="X131" s="25"/>
      <c r="Y131" s="25">
        <v>1</v>
      </c>
      <c r="Z131" s="25"/>
      <c r="AA131" s="49">
        <f t="shared" ref="AA131:AA194" si="14">SUM(V131:Y131)+(Z131/2)</f>
        <v>1</v>
      </c>
      <c r="AG131" s="63">
        <f t="shared" ref="AG131:AG194" si="15">SUM(E131:G131)</f>
        <v>0</v>
      </c>
      <c r="AH131" s="59">
        <f t="shared" ref="AH131:AH194" si="16">SUM(N131:P131)</f>
        <v>0</v>
      </c>
      <c r="AI131" s="69">
        <f t="shared" ref="AI131:AI194" si="17">SUM(W131:Y131)</f>
        <v>1</v>
      </c>
    </row>
    <row r="132" spans="1:42" s="11" customFormat="1" ht="27" customHeight="1" x14ac:dyDescent="0.2">
      <c r="A132" s="7" t="s">
        <v>123</v>
      </c>
      <c r="B132" s="7" t="s">
        <v>309</v>
      </c>
      <c r="C132" s="8" t="s">
        <v>715</v>
      </c>
      <c r="D132" s="24"/>
      <c r="E132" s="25"/>
      <c r="F132" s="25"/>
      <c r="G132" s="25">
        <v>2</v>
      </c>
      <c r="H132" s="25"/>
      <c r="I132" s="26">
        <f t="shared" si="12"/>
        <v>2</v>
      </c>
      <c r="J132" s="7" t="s">
        <v>123</v>
      </c>
      <c r="K132" s="7" t="s">
        <v>309</v>
      </c>
      <c r="L132" s="7" t="s">
        <v>407</v>
      </c>
      <c r="M132" s="24"/>
      <c r="N132" s="25"/>
      <c r="O132" s="25"/>
      <c r="P132" s="25"/>
      <c r="Q132" s="25">
        <v>2</v>
      </c>
      <c r="R132" s="31">
        <f t="shared" si="13"/>
        <v>1</v>
      </c>
      <c r="S132" s="7" t="s">
        <v>123</v>
      </c>
      <c r="T132" s="7" t="s">
        <v>309</v>
      </c>
      <c r="U132" s="7" t="s">
        <v>548</v>
      </c>
      <c r="V132" s="24"/>
      <c r="W132" s="25"/>
      <c r="X132" s="25"/>
      <c r="Y132" s="25"/>
      <c r="Z132" s="25">
        <v>2</v>
      </c>
      <c r="AA132" s="49">
        <f t="shared" si="14"/>
        <v>1</v>
      </c>
      <c r="AG132" s="63">
        <f t="shared" si="15"/>
        <v>2</v>
      </c>
      <c r="AH132" s="59">
        <f t="shared" si="16"/>
        <v>0</v>
      </c>
      <c r="AI132" s="69">
        <f t="shared" si="17"/>
        <v>0</v>
      </c>
    </row>
    <row r="133" spans="1:42" s="11" customFormat="1" ht="27" customHeight="1" x14ac:dyDescent="0.2">
      <c r="A133" s="7" t="s">
        <v>124</v>
      </c>
      <c r="B133" s="7" t="s">
        <v>310</v>
      </c>
      <c r="C133" s="8" t="s">
        <v>716</v>
      </c>
      <c r="D133" s="24"/>
      <c r="E133" s="25"/>
      <c r="F133" s="25"/>
      <c r="G133" s="25">
        <v>2</v>
      </c>
      <c r="H133" s="25"/>
      <c r="I133" s="26">
        <f t="shared" si="12"/>
        <v>2</v>
      </c>
      <c r="J133" s="7" t="s">
        <v>124</v>
      </c>
      <c r="K133" s="7" t="s">
        <v>310</v>
      </c>
      <c r="L133" s="7" t="s">
        <v>408</v>
      </c>
      <c r="M133" s="24"/>
      <c r="N133" s="25"/>
      <c r="O133" s="25"/>
      <c r="P133" s="25">
        <v>2</v>
      </c>
      <c r="Q133" s="25"/>
      <c r="R133" s="31">
        <f t="shared" si="13"/>
        <v>2</v>
      </c>
      <c r="S133" s="7" t="s">
        <v>124</v>
      </c>
      <c r="T133" s="7" t="s">
        <v>310</v>
      </c>
      <c r="U133" s="7" t="s">
        <v>549</v>
      </c>
      <c r="V133" s="24"/>
      <c r="W133" s="25"/>
      <c r="X133" s="25">
        <v>2</v>
      </c>
      <c r="Y133" s="25"/>
      <c r="Z133" s="25"/>
      <c r="AA133" s="49">
        <f t="shared" si="14"/>
        <v>2</v>
      </c>
      <c r="AG133" s="63">
        <f t="shared" si="15"/>
        <v>2</v>
      </c>
      <c r="AH133" s="59">
        <f t="shared" si="16"/>
        <v>2</v>
      </c>
      <c r="AI133" s="69">
        <f t="shared" si="17"/>
        <v>2</v>
      </c>
    </row>
    <row r="134" spans="1:42" s="12" customFormat="1" ht="27" customHeight="1" x14ac:dyDescent="0.2">
      <c r="A134" s="7" t="s">
        <v>802</v>
      </c>
      <c r="B134" s="7" t="s">
        <v>803</v>
      </c>
      <c r="C134" s="8" t="s">
        <v>828</v>
      </c>
      <c r="D134" s="24"/>
      <c r="E134" s="25"/>
      <c r="F134" s="25"/>
      <c r="G134" s="25"/>
      <c r="H134" s="25"/>
      <c r="I134" s="26">
        <f t="shared" si="12"/>
        <v>0</v>
      </c>
      <c r="J134" s="7" t="s">
        <v>802</v>
      </c>
      <c r="K134" s="7" t="s">
        <v>803</v>
      </c>
      <c r="L134" s="7" t="s">
        <v>947</v>
      </c>
      <c r="M134" s="24"/>
      <c r="N134" s="25"/>
      <c r="O134" s="25"/>
      <c r="P134" s="25"/>
      <c r="Q134" s="25"/>
      <c r="R134" s="31">
        <f t="shared" si="13"/>
        <v>0</v>
      </c>
      <c r="S134" s="7" t="s">
        <v>802</v>
      </c>
      <c r="T134" s="7" t="s">
        <v>803</v>
      </c>
      <c r="U134" s="7" t="s">
        <v>842</v>
      </c>
      <c r="V134" s="24"/>
      <c r="W134" s="25"/>
      <c r="X134" s="25"/>
      <c r="Y134" s="25"/>
      <c r="Z134" s="25"/>
      <c r="AA134" s="49">
        <f t="shared" si="14"/>
        <v>0</v>
      </c>
      <c r="AB134" s="11"/>
      <c r="AC134" s="11"/>
      <c r="AD134" s="11"/>
      <c r="AE134" s="11"/>
      <c r="AF134" s="11"/>
      <c r="AG134" s="63">
        <f t="shared" si="15"/>
        <v>0</v>
      </c>
      <c r="AH134" s="59">
        <f t="shared" si="16"/>
        <v>0</v>
      </c>
      <c r="AI134" s="69">
        <f t="shared" si="17"/>
        <v>0</v>
      </c>
      <c r="AJ134" s="11"/>
      <c r="AK134" s="11"/>
      <c r="AL134" s="11"/>
      <c r="AM134" s="11"/>
      <c r="AN134" s="11"/>
      <c r="AO134" s="11"/>
      <c r="AP134" s="11"/>
    </row>
    <row r="135" spans="1:42" s="11" customFormat="1" ht="27" customHeight="1" x14ac:dyDescent="0.2">
      <c r="A135" s="7" t="s">
        <v>125</v>
      </c>
      <c r="B135" s="7" t="s">
        <v>311</v>
      </c>
      <c r="C135" s="8" t="s">
        <v>717</v>
      </c>
      <c r="D135" s="24">
        <v>1</v>
      </c>
      <c r="E135" s="25"/>
      <c r="F135" s="25"/>
      <c r="G135" s="25"/>
      <c r="H135" s="25"/>
      <c r="I135" s="26">
        <f t="shared" si="12"/>
        <v>1</v>
      </c>
      <c r="J135" s="7" t="s">
        <v>125</v>
      </c>
      <c r="K135" s="7" t="s">
        <v>311</v>
      </c>
      <c r="L135" s="7" t="s">
        <v>948</v>
      </c>
      <c r="M135" s="24"/>
      <c r="N135" s="25"/>
      <c r="O135" s="25">
        <v>2</v>
      </c>
      <c r="P135" s="25"/>
      <c r="Q135" s="25"/>
      <c r="R135" s="31">
        <f t="shared" si="13"/>
        <v>2</v>
      </c>
      <c r="S135" s="7" t="s">
        <v>125</v>
      </c>
      <c r="T135" s="7" t="s">
        <v>311</v>
      </c>
      <c r="U135" s="7" t="s">
        <v>550</v>
      </c>
      <c r="V135" s="24"/>
      <c r="W135" s="25"/>
      <c r="X135" s="25">
        <v>1</v>
      </c>
      <c r="Y135" s="25"/>
      <c r="Z135" s="25"/>
      <c r="AA135" s="49">
        <f t="shared" si="14"/>
        <v>1</v>
      </c>
      <c r="AG135" s="63">
        <f t="shared" si="15"/>
        <v>0</v>
      </c>
      <c r="AH135" s="59">
        <f t="shared" si="16"/>
        <v>2</v>
      </c>
      <c r="AI135" s="69">
        <f t="shared" si="17"/>
        <v>1</v>
      </c>
    </row>
    <row r="136" spans="1:42" s="11" customFormat="1" ht="27" customHeight="1" x14ac:dyDescent="0.2">
      <c r="A136" s="7" t="s">
        <v>126</v>
      </c>
      <c r="B136" s="7" t="s">
        <v>312</v>
      </c>
      <c r="C136" s="8" t="s">
        <v>718</v>
      </c>
      <c r="D136" s="24"/>
      <c r="E136" s="25"/>
      <c r="F136" s="25"/>
      <c r="G136" s="25">
        <v>2</v>
      </c>
      <c r="H136" s="25"/>
      <c r="I136" s="26">
        <f t="shared" si="12"/>
        <v>2</v>
      </c>
      <c r="J136" s="7" t="s">
        <v>126</v>
      </c>
      <c r="K136" s="7" t="s">
        <v>312</v>
      </c>
      <c r="L136" s="7" t="s">
        <v>949</v>
      </c>
      <c r="M136" s="24">
        <v>1</v>
      </c>
      <c r="N136" s="25"/>
      <c r="O136" s="25"/>
      <c r="P136" s="25">
        <v>2</v>
      </c>
      <c r="Q136" s="25"/>
      <c r="R136" s="31">
        <f t="shared" si="13"/>
        <v>3</v>
      </c>
      <c r="S136" s="7" t="s">
        <v>126</v>
      </c>
      <c r="T136" s="7" t="s">
        <v>312</v>
      </c>
      <c r="U136" s="7" t="s">
        <v>551</v>
      </c>
      <c r="V136" s="24"/>
      <c r="W136" s="25"/>
      <c r="X136" s="25"/>
      <c r="Y136" s="25"/>
      <c r="Z136" s="25"/>
      <c r="AA136" s="49">
        <f t="shared" si="14"/>
        <v>0</v>
      </c>
      <c r="AG136" s="63">
        <f t="shared" si="15"/>
        <v>2</v>
      </c>
      <c r="AH136" s="59">
        <f t="shared" si="16"/>
        <v>2</v>
      </c>
      <c r="AI136" s="69">
        <f t="shared" si="17"/>
        <v>0</v>
      </c>
    </row>
    <row r="137" spans="1:42" s="11" customFormat="1" ht="27" customHeight="1" x14ac:dyDescent="0.2">
      <c r="A137" s="7" t="s">
        <v>127</v>
      </c>
      <c r="B137" s="7" t="s">
        <v>313</v>
      </c>
      <c r="C137" s="8" t="s">
        <v>719</v>
      </c>
      <c r="D137" s="24"/>
      <c r="E137" s="25"/>
      <c r="F137" s="25"/>
      <c r="G137" s="25"/>
      <c r="H137" s="25"/>
      <c r="I137" s="26">
        <f t="shared" si="12"/>
        <v>0</v>
      </c>
      <c r="J137" s="7" t="s">
        <v>127</v>
      </c>
      <c r="K137" s="7" t="s">
        <v>313</v>
      </c>
      <c r="L137" s="7" t="s">
        <v>950</v>
      </c>
      <c r="M137" s="24"/>
      <c r="N137" s="25"/>
      <c r="O137" s="25"/>
      <c r="P137" s="25"/>
      <c r="Q137" s="25"/>
      <c r="R137" s="31">
        <f t="shared" si="13"/>
        <v>0</v>
      </c>
      <c r="S137" s="7" t="s">
        <v>127</v>
      </c>
      <c r="T137" s="7" t="s">
        <v>313</v>
      </c>
      <c r="U137" s="7" t="s">
        <v>552</v>
      </c>
      <c r="V137" s="24"/>
      <c r="W137" s="25"/>
      <c r="X137" s="25"/>
      <c r="Y137" s="25"/>
      <c r="Z137" s="25"/>
      <c r="AA137" s="49">
        <f t="shared" si="14"/>
        <v>0</v>
      </c>
      <c r="AG137" s="63">
        <f t="shared" si="15"/>
        <v>0</v>
      </c>
      <c r="AH137" s="59">
        <f t="shared" si="16"/>
        <v>0</v>
      </c>
      <c r="AI137" s="69">
        <f t="shared" si="17"/>
        <v>0</v>
      </c>
    </row>
    <row r="138" spans="1:42" s="11" customFormat="1" ht="27" customHeight="1" x14ac:dyDescent="0.2">
      <c r="A138" s="7" t="s">
        <v>128</v>
      </c>
      <c r="B138" s="7" t="s">
        <v>314</v>
      </c>
      <c r="C138" s="8" t="s">
        <v>720</v>
      </c>
      <c r="D138" s="24"/>
      <c r="E138" s="25"/>
      <c r="F138" s="25"/>
      <c r="G138" s="25"/>
      <c r="H138" s="25">
        <v>2</v>
      </c>
      <c r="I138" s="26">
        <f t="shared" si="12"/>
        <v>1</v>
      </c>
      <c r="J138" s="7" t="s">
        <v>128</v>
      </c>
      <c r="K138" s="7" t="s">
        <v>314</v>
      </c>
      <c r="L138" s="7" t="s">
        <v>951</v>
      </c>
      <c r="M138" s="24"/>
      <c r="N138" s="25"/>
      <c r="O138" s="25"/>
      <c r="P138" s="25">
        <v>1</v>
      </c>
      <c r="Q138" s="25"/>
      <c r="R138" s="31">
        <f t="shared" si="13"/>
        <v>1</v>
      </c>
      <c r="S138" s="7" t="s">
        <v>128</v>
      </c>
      <c r="T138" s="7" t="s">
        <v>314</v>
      </c>
      <c r="U138" s="7" t="s">
        <v>553</v>
      </c>
      <c r="V138" s="24">
        <v>1</v>
      </c>
      <c r="W138" s="25"/>
      <c r="X138" s="25">
        <v>2</v>
      </c>
      <c r="Y138" s="25"/>
      <c r="Z138" s="25"/>
      <c r="AA138" s="49">
        <f t="shared" si="14"/>
        <v>3</v>
      </c>
      <c r="AG138" s="63">
        <f t="shared" si="15"/>
        <v>0</v>
      </c>
      <c r="AH138" s="59">
        <f t="shared" si="16"/>
        <v>1</v>
      </c>
      <c r="AI138" s="69">
        <f t="shared" si="17"/>
        <v>2</v>
      </c>
    </row>
    <row r="139" spans="1:42" s="11" customFormat="1" ht="27" customHeight="1" x14ac:dyDescent="0.2">
      <c r="A139" s="7" t="s">
        <v>129</v>
      </c>
      <c r="B139" s="7" t="s">
        <v>315</v>
      </c>
      <c r="C139" s="8" t="s">
        <v>721</v>
      </c>
      <c r="D139" s="24"/>
      <c r="E139" s="25"/>
      <c r="F139" s="25"/>
      <c r="G139" s="25"/>
      <c r="H139" s="25">
        <v>1</v>
      </c>
      <c r="I139" s="26">
        <f t="shared" si="12"/>
        <v>0.5</v>
      </c>
      <c r="J139" s="7" t="s">
        <v>129</v>
      </c>
      <c r="K139" s="7" t="s">
        <v>315</v>
      </c>
      <c r="L139" s="7" t="s">
        <v>952</v>
      </c>
      <c r="M139" s="24">
        <v>1</v>
      </c>
      <c r="N139" s="25"/>
      <c r="O139" s="25"/>
      <c r="P139" s="25"/>
      <c r="Q139" s="25"/>
      <c r="R139" s="31">
        <f t="shared" si="13"/>
        <v>1</v>
      </c>
      <c r="S139" s="7" t="s">
        <v>129</v>
      </c>
      <c r="T139" s="7" t="s">
        <v>315</v>
      </c>
      <c r="U139" s="7" t="s">
        <v>554</v>
      </c>
      <c r="V139" s="24"/>
      <c r="W139" s="25"/>
      <c r="X139" s="25">
        <v>1</v>
      </c>
      <c r="Y139" s="25"/>
      <c r="Z139" s="25"/>
      <c r="AA139" s="49">
        <f t="shared" si="14"/>
        <v>1</v>
      </c>
      <c r="AG139" s="63">
        <f t="shared" si="15"/>
        <v>0</v>
      </c>
      <c r="AH139" s="59">
        <f t="shared" si="16"/>
        <v>0</v>
      </c>
      <c r="AI139" s="69">
        <f t="shared" si="17"/>
        <v>1</v>
      </c>
    </row>
    <row r="140" spans="1:42" s="11" customFormat="1" ht="27" customHeight="1" x14ac:dyDescent="0.2">
      <c r="A140" s="7" t="s">
        <v>130</v>
      </c>
      <c r="B140" s="7" t="s">
        <v>316</v>
      </c>
      <c r="C140" s="8" t="s">
        <v>722</v>
      </c>
      <c r="D140" s="24"/>
      <c r="E140" s="25"/>
      <c r="F140" s="25"/>
      <c r="G140" s="25"/>
      <c r="H140" s="25"/>
      <c r="I140" s="26">
        <f t="shared" si="12"/>
        <v>0</v>
      </c>
      <c r="J140" s="7" t="s">
        <v>130</v>
      </c>
      <c r="K140" s="7" t="s">
        <v>316</v>
      </c>
      <c r="L140" s="7" t="s">
        <v>409</v>
      </c>
      <c r="M140" s="24"/>
      <c r="N140" s="25"/>
      <c r="O140" s="25">
        <v>2</v>
      </c>
      <c r="P140" s="25"/>
      <c r="Q140" s="25"/>
      <c r="R140" s="31">
        <f t="shared" si="13"/>
        <v>2</v>
      </c>
      <c r="S140" s="7" t="s">
        <v>130</v>
      </c>
      <c r="T140" s="7" t="s">
        <v>316</v>
      </c>
      <c r="U140" s="7" t="s">
        <v>555</v>
      </c>
      <c r="V140" s="24"/>
      <c r="W140" s="25"/>
      <c r="X140" s="25">
        <v>2</v>
      </c>
      <c r="Y140" s="25"/>
      <c r="Z140" s="25"/>
      <c r="AA140" s="49">
        <f t="shared" si="14"/>
        <v>2</v>
      </c>
      <c r="AG140" s="63">
        <f t="shared" si="15"/>
        <v>0</v>
      </c>
      <c r="AH140" s="59">
        <f t="shared" si="16"/>
        <v>2</v>
      </c>
      <c r="AI140" s="69">
        <f t="shared" si="17"/>
        <v>2</v>
      </c>
    </row>
    <row r="141" spans="1:42" s="11" customFormat="1" ht="27" customHeight="1" x14ac:dyDescent="0.2">
      <c r="A141" s="7" t="s">
        <v>131</v>
      </c>
      <c r="B141" s="7" t="s">
        <v>317</v>
      </c>
      <c r="C141" s="8" t="s">
        <v>723</v>
      </c>
      <c r="D141" s="24"/>
      <c r="E141" s="25"/>
      <c r="F141" s="25"/>
      <c r="G141" s="25"/>
      <c r="H141" s="25"/>
      <c r="I141" s="26">
        <f t="shared" si="12"/>
        <v>0</v>
      </c>
      <c r="J141" s="7" t="s">
        <v>131</v>
      </c>
      <c r="K141" s="7" t="s">
        <v>317</v>
      </c>
      <c r="L141" s="7" t="s">
        <v>953</v>
      </c>
      <c r="M141" s="24"/>
      <c r="N141" s="25"/>
      <c r="O141" s="25">
        <v>2</v>
      </c>
      <c r="P141" s="25"/>
      <c r="Q141" s="25"/>
      <c r="R141" s="31">
        <f t="shared" si="13"/>
        <v>2</v>
      </c>
      <c r="S141" s="7" t="s">
        <v>131</v>
      </c>
      <c r="T141" s="7" t="s">
        <v>317</v>
      </c>
      <c r="U141" s="7" t="s">
        <v>556</v>
      </c>
      <c r="V141" s="24"/>
      <c r="W141" s="25"/>
      <c r="X141" s="25">
        <v>1</v>
      </c>
      <c r="Y141" s="25"/>
      <c r="Z141" s="25"/>
      <c r="AA141" s="49">
        <f t="shared" si="14"/>
        <v>1</v>
      </c>
      <c r="AG141" s="63">
        <f t="shared" si="15"/>
        <v>0</v>
      </c>
      <c r="AH141" s="59">
        <f t="shared" si="16"/>
        <v>2</v>
      </c>
      <c r="AI141" s="69">
        <f t="shared" si="17"/>
        <v>1</v>
      </c>
    </row>
    <row r="142" spans="1:42" s="11" customFormat="1" ht="27" customHeight="1" x14ac:dyDescent="0.2">
      <c r="A142" s="7" t="s">
        <v>132</v>
      </c>
      <c r="B142" s="7" t="s">
        <v>318</v>
      </c>
      <c r="C142" s="8" t="s">
        <v>724</v>
      </c>
      <c r="D142" s="24"/>
      <c r="E142" s="25"/>
      <c r="F142" s="25"/>
      <c r="G142" s="25"/>
      <c r="H142" s="25"/>
      <c r="I142" s="26">
        <f t="shared" si="12"/>
        <v>0</v>
      </c>
      <c r="J142" s="7" t="s">
        <v>132</v>
      </c>
      <c r="K142" s="7" t="s">
        <v>318</v>
      </c>
      <c r="L142" s="7" t="s">
        <v>410</v>
      </c>
      <c r="M142" s="24"/>
      <c r="N142" s="25"/>
      <c r="O142" s="25"/>
      <c r="P142" s="25"/>
      <c r="Q142" s="25"/>
      <c r="R142" s="31">
        <f t="shared" si="13"/>
        <v>0</v>
      </c>
      <c r="S142" s="7" t="s">
        <v>132</v>
      </c>
      <c r="T142" s="7" t="s">
        <v>318</v>
      </c>
      <c r="U142" s="7" t="s">
        <v>557</v>
      </c>
      <c r="V142" s="24"/>
      <c r="W142" s="25"/>
      <c r="X142" s="25">
        <v>1</v>
      </c>
      <c r="Y142" s="25"/>
      <c r="Z142" s="25"/>
      <c r="AA142" s="49">
        <f t="shared" si="14"/>
        <v>1</v>
      </c>
      <c r="AG142" s="63">
        <f t="shared" si="15"/>
        <v>0</v>
      </c>
      <c r="AH142" s="59">
        <f t="shared" si="16"/>
        <v>0</v>
      </c>
      <c r="AI142" s="69">
        <f t="shared" si="17"/>
        <v>1</v>
      </c>
    </row>
    <row r="143" spans="1:42" s="11" customFormat="1" ht="27" customHeight="1" x14ac:dyDescent="0.2">
      <c r="A143" s="7" t="s">
        <v>133</v>
      </c>
      <c r="B143" s="7" t="s">
        <v>319</v>
      </c>
      <c r="C143" s="8" t="s">
        <v>725</v>
      </c>
      <c r="D143" s="24"/>
      <c r="E143" s="25"/>
      <c r="F143" s="25">
        <v>2</v>
      </c>
      <c r="G143" s="25"/>
      <c r="H143" s="25"/>
      <c r="I143" s="26">
        <f t="shared" si="12"/>
        <v>2</v>
      </c>
      <c r="J143" s="7" t="s">
        <v>133</v>
      </c>
      <c r="K143" s="7" t="s">
        <v>319</v>
      </c>
      <c r="L143" s="7" t="s">
        <v>954</v>
      </c>
      <c r="M143" s="24"/>
      <c r="N143" s="25"/>
      <c r="O143" s="25"/>
      <c r="P143" s="25">
        <v>2</v>
      </c>
      <c r="Q143" s="25"/>
      <c r="R143" s="31">
        <f t="shared" si="13"/>
        <v>2</v>
      </c>
      <c r="S143" s="7" t="s">
        <v>133</v>
      </c>
      <c r="T143" s="7" t="s">
        <v>319</v>
      </c>
      <c r="U143" s="7" t="s">
        <v>558</v>
      </c>
      <c r="V143" s="24"/>
      <c r="W143" s="25"/>
      <c r="X143" s="25">
        <v>2</v>
      </c>
      <c r="Y143" s="25"/>
      <c r="Z143" s="25"/>
      <c r="AA143" s="49">
        <f t="shared" si="14"/>
        <v>2</v>
      </c>
      <c r="AG143" s="63">
        <f t="shared" si="15"/>
        <v>2</v>
      </c>
      <c r="AH143" s="59">
        <f t="shared" si="16"/>
        <v>2</v>
      </c>
      <c r="AI143" s="69">
        <f t="shared" si="17"/>
        <v>2</v>
      </c>
    </row>
    <row r="144" spans="1:42" s="11" customFormat="1" ht="27" customHeight="1" x14ac:dyDescent="0.2">
      <c r="A144" s="7" t="s">
        <v>134</v>
      </c>
      <c r="B144" s="7" t="s">
        <v>320</v>
      </c>
      <c r="C144" s="8" t="s">
        <v>726</v>
      </c>
      <c r="D144" s="24"/>
      <c r="E144" s="25"/>
      <c r="F144" s="25"/>
      <c r="G144" s="25"/>
      <c r="H144" s="25"/>
      <c r="I144" s="26">
        <f t="shared" si="12"/>
        <v>0</v>
      </c>
      <c r="J144" s="7" t="s">
        <v>134</v>
      </c>
      <c r="K144" s="7" t="s">
        <v>320</v>
      </c>
      <c r="L144" s="7" t="s">
        <v>955</v>
      </c>
      <c r="M144" s="24"/>
      <c r="N144" s="25"/>
      <c r="O144" s="25"/>
      <c r="P144" s="25">
        <v>2</v>
      </c>
      <c r="Q144" s="25"/>
      <c r="R144" s="31">
        <f t="shared" si="13"/>
        <v>2</v>
      </c>
      <c r="S144" s="7" t="s">
        <v>134</v>
      </c>
      <c r="T144" s="7" t="s">
        <v>320</v>
      </c>
      <c r="U144" s="7" t="s">
        <v>559</v>
      </c>
      <c r="V144" s="70"/>
      <c r="W144" s="25"/>
      <c r="X144" s="25"/>
      <c r="Y144" s="25"/>
      <c r="Z144" s="25"/>
      <c r="AA144" s="49">
        <f t="shared" si="14"/>
        <v>0</v>
      </c>
      <c r="AG144" s="63">
        <f t="shared" si="15"/>
        <v>0</v>
      </c>
      <c r="AH144" s="59">
        <f t="shared" si="16"/>
        <v>2</v>
      </c>
      <c r="AI144" s="69">
        <f t="shared" si="17"/>
        <v>0</v>
      </c>
    </row>
    <row r="145" spans="1:35" s="11" customFormat="1" ht="27" customHeight="1" x14ac:dyDescent="0.2">
      <c r="A145" s="7" t="s">
        <v>135</v>
      </c>
      <c r="B145" s="7" t="s">
        <v>321</v>
      </c>
      <c r="C145" s="8" t="s">
        <v>727</v>
      </c>
      <c r="D145" s="24"/>
      <c r="E145" s="25"/>
      <c r="F145" s="25"/>
      <c r="G145" s="25"/>
      <c r="H145" s="25"/>
      <c r="I145" s="26">
        <f t="shared" si="12"/>
        <v>0</v>
      </c>
      <c r="J145" s="7" t="s">
        <v>135</v>
      </c>
      <c r="K145" s="7" t="s">
        <v>321</v>
      </c>
      <c r="L145" s="7" t="s">
        <v>956</v>
      </c>
      <c r="M145" s="24"/>
      <c r="N145" s="25"/>
      <c r="O145" s="25"/>
      <c r="P145" s="25"/>
      <c r="Q145" s="25"/>
      <c r="R145" s="31">
        <f t="shared" si="13"/>
        <v>0</v>
      </c>
      <c r="S145" s="7" t="s">
        <v>135</v>
      </c>
      <c r="T145" s="7" t="s">
        <v>321</v>
      </c>
      <c r="U145" s="7" t="s">
        <v>560</v>
      </c>
      <c r="V145" s="24">
        <v>2</v>
      </c>
      <c r="W145" s="25"/>
      <c r="X145" s="25"/>
      <c r="Y145" s="25"/>
      <c r="Z145" s="25"/>
      <c r="AA145" s="49">
        <f>SUM(V145:Y145)+(Z145/2)</f>
        <v>2</v>
      </c>
      <c r="AG145" s="63">
        <f t="shared" si="15"/>
        <v>0</v>
      </c>
      <c r="AH145" s="59">
        <f t="shared" si="16"/>
        <v>0</v>
      </c>
      <c r="AI145" s="69">
        <f t="shared" si="17"/>
        <v>0</v>
      </c>
    </row>
    <row r="146" spans="1:35" s="11" customFormat="1" ht="27" customHeight="1" x14ac:dyDescent="0.2">
      <c r="A146" s="7" t="s">
        <v>136</v>
      </c>
      <c r="B146" s="7" t="s">
        <v>322</v>
      </c>
      <c r="C146" s="8" t="s">
        <v>728</v>
      </c>
      <c r="D146" s="24"/>
      <c r="E146" s="25"/>
      <c r="F146" s="25"/>
      <c r="G146" s="25"/>
      <c r="H146" s="25"/>
      <c r="I146" s="26">
        <f t="shared" si="12"/>
        <v>0</v>
      </c>
      <c r="J146" s="7" t="s">
        <v>136</v>
      </c>
      <c r="K146" s="7" t="s">
        <v>322</v>
      </c>
      <c r="L146" s="7" t="s">
        <v>957</v>
      </c>
      <c r="M146" s="24"/>
      <c r="N146" s="25">
        <v>2</v>
      </c>
      <c r="O146" s="25"/>
      <c r="P146" s="25">
        <v>2</v>
      </c>
      <c r="Q146" s="25"/>
      <c r="R146" s="31">
        <f t="shared" si="13"/>
        <v>4</v>
      </c>
      <c r="S146" s="7" t="s">
        <v>136</v>
      </c>
      <c r="T146" s="7" t="s">
        <v>322</v>
      </c>
      <c r="U146" s="7" t="s">
        <v>561</v>
      </c>
      <c r="V146" s="24"/>
      <c r="W146" s="25"/>
      <c r="X146" s="25"/>
      <c r="Y146" s="25"/>
      <c r="Z146" s="25">
        <v>1</v>
      </c>
      <c r="AA146" s="49">
        <f t="shared" si="14"/>
        <v>0.5</v>
      </c>
      <c r="AG146" s="63">
        <f t="shared" si="15"/>
        <v>0</v>
      </c>
      <c r="AH146" s="59">
        <f t="shared" si="16"/>
        <v>4</v>
      </c>
      <c r="AI146" s="69">
        <f t="shared" si="17"/>
        <v>0</v>
      </c>
    </row>
    <row r="147" spans="1:35" s="11" customFormat="1" ht="27" customHeight="1" x14ac:dyDescent="0.2">
      <c r="A147" s="7" t="s">
        <v>137</v>
      </c>
      <c r="B147" s="7" t="s">
        <v>323</v>
      </c>
      <c r="C147" s="8" t="s">
        <v>729</v>
      </c>
      <c r="D147" s="24"/>
      <c r="E147" s="25"/>
      <c r="F147" s="25"/>
      <c r="G147" s="25"/>
      <c r="H147" s="25"/>
      <c r="I147" s="26">
        <f t="shared" si="12"/>
        <v>0</v>
      </c>
      <c r="J147" s="7" t="s">
        <v>137</v>
      </c>
      <c r="K147" s="7" t="s">
        <v>323</v>
      </c>
      <c r="L147" s="7" t="s">
        <v>411</v>
      </c>
      <c r="M147" s="24"/>
      <c r="N147" s="25"/>
      <c r="O147" s="25"/>
      <c r="P147" s="25"/>
      <c r="Q147" s="25"/>
      <c r="R147" s="31">
        <f t="shared" si="13"/>
        <v>0</v>
      </c>
      <c r="S147" s="7" t="s">
        <v>137</v>
      </c>
      <c r="T147" s="7" t="s">
        <v>323</v>
      </c>
      <c r="U147" s="7" t="s">
        <v>562</v>
      </c>
      <c r="V147" s="24"/>
      <c r="W147" s="25"/>
      <c r="X147" s="25"/>
      <c r="Y147" s="25">
        <v>2</v>
      </c>
      <c r="Z147" s="25"/>
      <c r="AA147" s="49">
        <f t="shared" si="14"/>
        <v>2</v>
      </c>
      <c r="AG147" s="63">
        <f t="shared" si="15"/>
        <v>0</v>
      </c>
      <c r="AH147" s="59">
        <f t="shared" si="16"/>
        <v>0</v>
      </c>
      <c r="AI147" s="69">
        <f t="shared" si="17"/>
        <v>2</v>
      </c>
    </row>
    <row r="148" spans="1:35" s="11" customFormat="1" ht="27" customHeight="1" x14ac:dyDescent="0.2">
      <c r="A148" s="7" t="s">
        <v>138</v>
      </c>
      <c r="B148" s="7" t="s">
        <v>324</v>
      </c>
      <c r="C148" s="8" t="s">
        <v>730</v>
      </c>
      <c r="D148" s="24"/>
      <c r="E148" s="25"/>
      <c r="F148" s="25"/>
      <c r="G148" s="25"/>
      <c r="H148" s="25"/>
      <c r="I148" s="26">
        <f t="shared" si="12"/>
        <v>0</v>
      </c>
      <c r="J148" s="7" t="s">
        <v>138</v>
      </c>
      <c r="K148" s="7" t="s">
        <v>324</v>
      </c>
      <c r="L148" s="7" t="s">
        <v>958</v>
      </c>
      <c r="M148" s="24"/>
      <c r="N148" s="25"/>
      <c r="O148" s="25"/>
      <c r="P148" s="25">
        <v>2</v>
      </c>
      <c r="Q148" s="25"/>
      <c r="R148" s="31">
        <f t="shared" si="13"/>
        <v>2</v>
      </c>
      <c r="S148" s="7" t="s">
        <v>138</v>
      </c>
      <c r="T148" s="7" t="s">
        <v>324</v>
      </c>
      <c r="U148" s="7" t="s">
        <v>563</v>
      </c>
      <c r="V148" s="24"/>
      <c r="W148" s="25"/>
      <c r="X148" s="25"/>
      <c r="Y148" s="25">
        <v>1</v>
      </c>
      <c r="Z148" s="25"/>
      <c r="AA148" s="49">
        <f t="shared" si="14"/>
        <v>1</v>
      </c>
      <c r="AG148" s="63">
        <f t="shared" si="15"/>
        <v>0</v>
      </c>
      <c r="AH148" s="59">
        <f t="shared" si="16"/>
        <v>2</v>
      </c>
      <c r="AI148" s="69">
        <f t="shared" si="17"/>
        <v>1</v>
      </c>
    </row>
    <row r="149" spans="1:35" s="11" customFormat="1" ht="27" customHeight="1" x14ac:dyDescent="0.2">
      <c r="A149" s="7" t="s">
        <v>139</v>
      </c>
      <c r="B149" s="7" t="s">
        <v>325</v>
      </c>
      <c r="C149" s="8" t="s">
        <v>731</v>
      </c>
      <c r="D149" s="24"/>
      <c r="E149" s="25"/>
      <c r="F149" s="25"/>
      <c r="G149" s="25"/>
      <c r="H149" s="25"/>
      <c r="I149" s="26">
        <f t="shared" si="12"/>
        <v>0</v>
      </c>
      <c r="J149" s="7" t="s">
        <v>139</v>
      </c>
      <c r="K149" s="7" t="s">
        <v>325</v>
      </c>
      <c r="L149" s="7" t="s">
        <v>959</v>
      </c>
      <c r="M149" s="24">
        <v>1</v>
      </c>
      <c r="N149" s="25"/>
      <c r="O149" s="25"/>
      <c r="P149" s="25"/>
      <c r="Q149" s="25"/>
      <c r="R149" s="31">
        <f t="shared" si="13"/>
        <v>1</v>
      </c>
      <c r="S149" s="7" t="s">
        <v>139</v>
      </c>
      <c r="T149" s="7" t="s">
        <v>325</v>
      </c>
      <c r="U149" s="7" t="s">
        <v>564</v>
      </c>
      <c r="V149" s="24"/>
      <c r="W149" s="25"/>
      <c r="X149" s="25"/>
      <c r="Y149" s="25">
        <v>2</v>
      </c>
      <c r="Z149" s="25"/>
      <c r="AA149" s="49">
        <f t="shared" si="14"/>
        <v>2</v>
      </c>
      <c r="AG149" s="63">
        <f t="shared" si="15"/>
        <v>0</v>
      </c>
      <c r="AH149" s="59">
        <f t="shared" si="16"/>
        <v>0</v>
      </c>
      <c r="AI149" s="69">
        <f t="shared" si="17"/>
        <v>2</v>
      </c>
    </row>
    <row r="150" spans="1:35" s="11" customFormat="1" ht="27" customHeight="1" x14ac:dyDescent="0.2">
      <c r="A150" s="7" t="s">
        <v>140</v>
      </c>
      <c r="B150" s="7" t="s">
        <v>326</v>
      </c>
      <c r="C150" s="8" t="s">
        <v>732</v>
      </c>
      <c r="D150" s="24"/>
      <c r="E150" s="25"/>
      <c r="F150" s="25"/>
      <c r="G150" s="25"/>
      <c r="H150" s="25"/>
      <c r="I150" s="26">
        <f t="shared" si="12"/>
        <v>0</v>
      </c>
      <c r="J150" s="7" t="s">
        <v>140</v>
      </c>
      <c r="K150" s="7" t="s">
        <v>326</v>
      </c>
      <c r="L150" s="7" t="s">
        <v>960</v>
      </c>
      <c r="M150" s="24"/>
      <c r="N150" s="25"/>
      <c r="O150" s="25"/>
      <c r="P150" s="25"/>
      <c r="Q150" s="25"/>
      <c r="R150" s="31">
        <f t="shared" si="13"/>
        <v>0</v>
      </c>
      <c r="S150" s="7" t="s">
        <v>140</v>
      </c>
      <c r="T150" s="7" t="s">
        <v>326</v>
      </c>
      <c r="U150" s="7" t="s">
        <v>565</v>
      </c>
      <c r="V150" s="24"/>
      <c r="W150" s="25"/>
      <c r="X150" s="25"/>
      <c r="Y150" s="25"/>
      <c r="Z150" s="25">
        <v>1</v>
      </c>
      <c r="AA150" s="49">
        <f t="shared" si="14"/>
        <v>0.5</v>
      </c>
      <c r="AG150" s="63">
        <f t="shared" si="15"/>
        <v>0</v>
      </c>
      <c r="AH150" s="59">
        <f t="shared" si="16"/>
        <v>0</v>
      </c>
      <c r="AI150" s="69">
        <f t="shared" si="17"/>
        <v>0</v>
      </c>
    </row>
    <row r="151" spans="1:35" s="11" customFormat="1" ht="27" customHeight="1" x14ac:dyDescent="0.2">
      <c r="A151" s="7" t="s">
        <v>141</v>
      </c>
      <c r="B151" s="7" t="s">
        <v>327</v>
      </c>
      <c r="C151" s="8" t="s">
        <v>733</v>
      </c>
      <c r="D151" s="24"/>
      <c r="E151" s="25"/>
      <c r="F151" s="25"/>
      <c r="G151" s="25"/>
      <c r="H151" s="25">
        <v>1</v>
      </c>
      <c r="I151" s="26">
        <f t="shared" si="12"/>
        <v>0.5</v>
      </c>
      <c r="J151" s="7" t="s">
        <v>141</v>
      </c>
      <c r="K151" s="7" t="s">
        <v>327</v>
      </c>
      <c r="L151" s="7" t="s">
        <v>961</v>
      </c>
      <c r="M151" s="24"/>
      <c r="N151" s="25"/>
      <c r="O151" s="25"/>
      <c r="P151" s="25"/>
      <c r="Q151" s="25">
        <v>2</v>
      </c>
      <c r="R151" s="31">
        <f t="shared" si="13"/>
        <v>1</v>
      </c>
      <c r="S151" s="7" t="s">
        <v>141</v>
      </c>
      <c r="T151" s="7" t="s">
        <v>327</v>
      </c>
      <c r="U151" s="7" t="s">
        <v>566</v>
      </c>
      <c r="V151" s="24"/>
      <c r="W151" s="25"/>
      <c r="X151" s="25"/>
      <c r="Y151" s="25">
        <v>2</v>
      </c>
      <c r="Z151" s="25"/>
      <c r="AA151" s="49">
        <f t="shared" si="14"/>
        <v>2</v>
      </c>
      <c r="AG151" s="63">
        <f t="shared" si="15"/>
        <v>0</v>
      </c>
      <c r="AH151" s="59">
        <f t="shared" si="16"/>
        <v>0</v>
      </c>
      <c r="AI151" s="69">
        <f t="shared" si="17"/>
        <v>2</v>
      </c>
    </row>
    <row r="152" spans="1:35" s="11" customFormat="1" ht="27" customHeight="1" x14ac:dyDescent="0.2">
      <c r="A152" s="7" t="s">
        <v>142</v>
      </c>
      <c r="B152" s="7" t="s">
        <v>328</v>
      </c>
      <c r="C152" s="8" t="s">
        <v>734</v>
      </c>
      <c r="D152" s="24"/>
      <c r="E152" s="25"/>
      <c r="F152" s="25"/>
      <c r="G152" s="25"/>
      <c r="H152" s="25"/>
      <c r="I152" s="26">
        <f t="shared" si="12"/>
        <v>0</v>
      </c>
      <c r="J152" s="7" t="s">
        <v>142</v>
      </c>
      <c r="K152" s="7" t="s">
        <v>328</v>
      </c>
      <c r="L152" s="7" t="s">
        <v>412</v>
      </c>
      <c r="M152" s="24"/>
      <c r="N152" s="25"/>
      <c r="O152" s="25"/>
      <c r="P152" s="25"/>
      <c r="Q152" s="25"/>
      <c r="R152" s="31">
        <f t="shared" si="13"/>
        <v>0</v>
      </c>
      <c r="S152" s="7" t="s">
        <v>142</v>
      </c>
      <c r="T152" s="7" t="s">
        <v>328</v>
      </c>
      <c r="U152" s="7" t="s">
        <v>567</v>
      </c>
      <c r="V152" s="24"/>
      <c r="W152" s="25"/>
      <c r="X152" s="25"/>
      <c r="Y152" s="25">
        <v>2</v>
      </c>
      <c r="Z152" s="25"/>
      <c r="AA152" s="49">
        <f t="shared" si="14"/>
        <v>2</v>
      </c>
      <c r="AG152" s="63">
        <f t="shared" si="15"/>
        <v>0</v>
      </c>
      <c r="AH152" s="59">
        <f t="shared" si="16"/>
        <v>0</v>
      </c>
      <c r="AI152" s="69">
        <f t="shared" si="17"/>
        <v>2</v>
      </c>
    </row>
    <row r="153" spans="1:35" s="11" customFormat="1" ht="27" customHeight="1" x14ac:dyDescent="0.2">
      <c r="A153" s="7" t="s">
        <v>143</v>
      </c>
      <c r="B153" s="7" t="s">
        <v>329</v>
      </c>
      <c r="C153" s="8" t="s">
        <v>735</v>
      </c>
      <c r="D153" s="24"/>
      <c r="E153" s="25"/>
      <c r="F153" s="25"/>
      <c r="G153" s="25"/>
      <c r="H153" s="25"/>
      <c r="I153" s="26">
        <f t="shared" si="12"/>
        <v>0</v>
      </c>
      <c r="J153" s="7" t="s">
        <v>143</v>
      </c>
      <c r="K153" s="7" t="s">
        <v>329</v>
      </c>
      <c r="L153" s="7" t="s">
        <v>413</v>
      </c>
      <c r="M153" s="24"/>
      <c r="N153" s="25"/>
      <c r="O153" s="25"/>
      <c r="P153" s="25"/>
      <c r="Q153" s="25">
        <v>2</v>
      </c>
      <c r="R153" s="31">
        <f t="shared" si="13"/>
        <v>1</v>
      </c>
      <c r="S153" s="7" t="s">
        <v>143</v>
      </c>
      <c r="T153" s="7" t="s">
        <v>329</v>
      </c>
      <c r="U153" s="7" t="s">
        <v>568</v>
      </c>
      <c r="V153" s="24"/>
      <c r="W153" s="25"/>
      <c r="X153" s="25"/>
      <c r="Y153" s="25"/>
      <c r="Z153" s="25"/>
      <c r="AA153" s="49">
        <f t="shared" si="14"/>
        <v>0</v>
      </c>
      <c r="AG153" s="63">
        <f t="shared" si="15"/>
        <v>0</v>
      </c>
      <c r="AH153" s="59">
        <f t="shared" si="16"/>
        <v>0</v>
      </c>
      <c r="AI153" s="69">
        <f t="shared" si="17"/>
        <v>0</v>
      </c>
    </row>
    <row r="154" spans="1:35" s="11" customFormat="1" ht="27" customHeight="1" x14ac:dyDescent="0.2">
      <c r="A154" s="7" t="s">
        <v>144</v>
      </c>
      <c r="B154" s="7" t="s">
        <v>330</v>
      </c>
      <c r="C154" s="8" t="s">
        <v>736</v>
      </c>
      <c r="D154" s="24"/>
      <c r="E154" s="25"/>
      <c r="F154" s="25"/>
      <c r="G154" s="25"/>
      <c r="H154" s="25"/>
      <c r="I154" s="26">
        <f t="shared" si="12"/>
        <v>0</v>
      </c>
      <c r="J154" s="7" t="s">
        <v>144</v>
      </c>
      <c r="K154" s="7" t="s">
        <v>330</v>
      </c>
      <c r="L154" s="7" t="s">
        <v>414</v>
      </c>
      <c r="M154" s="24"/>
      <c r="N154" s="25"/>
      <c r="O154" s="25"/>
      <c r="P154" s="25"/>
      <c r="Q154" s="25">
        <v>1</v>
      </c>
      <c r="R154" s="31">
        <f t="shared" si="13"/>
        <v>0.5</v>
      </c>
      <c r="S154" s="7" t="s">
        <v>144</v>
      </c>
      <c r="T154" s="7" t="s">
        <v>330</v>
      </c>
      <c r="U154" s="7" t="s">
        <v>569</v>
      </c>
      <c r="V154" s="24"/>
      <c r="W154" s="25"/>
      <c r="X154" s="25"/>
      <c r="Y154" s="25">
        <v>2</v>
      </c>
      <c r="Z154" s="25"/>
      <c r="AA154" s="49">
        <f t="shared" si="14"/>
        <v>2</v>
      </c>
      <c r="AG154" s="63">
        <f t="shared" si="15"/>
        <v>0</v>
      </c>
      <c r="AH154" s="59">
        <f t="shared" si="16"/>
        <v>0</v>
      </c>
      <c r="AI154" s="69">
        <f t="shared" si="17"/>
        <v>2</v>
      </c>
    </row>
    <row r="155" spans="1:35" s="11" customFormat="1" ht="27" customHeight="1" x14ac:dyDescent="0.2">
      <c r="A155" s="7" t="s">
        <v>145</v>
      </c>
      <c r="B155" s="7" t="s">
        <v>331</v>
      </c>
      <c r="C155" s="8" t="s">
        <v>737</v>
      </c>
      <c r="D155" s="24"/>
      <c r="E155" s="25"/>
      <c r="F155" s="25">
        <v>1</v>
      </c>
      <c r="G155" s="25"/>
      <c r="H155" s="25"/>
      <c r="I155" s="26">
        <f t="shared" si="12"/>
        <v>1</v>
      </c>
      <c r="J155" s="7" t="s">
        <v>145</v>
      </c>
      <c r="K155" s="7" t="s">
        <v>331</v>
      </c>
      <c r="L155" s="7" t="s">
        <v>962</v>
      </c>
      <c r="M155" s="24"/>
      <c r="N155" s="25"/>
      <c r="O155" s="25"/>
      <c r="P155" s="25">
        <v>1</v>
      </c>
      <c r="Q155" s="25"/>
      <c r="R155" s="31">
        <f t="shared" si="13"/>
        <v>1</v>
      </c>
      <c r="S155" s="7" t="s">
        <v>145</v>
      </c>
      <c r="T155" s="7" t="s">
        <v>331</v>
      </c>
      <c r="U155" s="7" t="s">
        <v>570</v>
      </c>
      <c r="V155" s="24"/>
      <c r="W155" s="25"/>
      <c r="X155" s="25">
        <v>1</v>
      </c>
      <c r="Y155" s="25"/>
      <c r="Z155" s="25"/>
      <c r="AA155" s="49">
        <f t="shared" si="14"/>
        <v>1</v>
      </c>
      <c r="AG155" s="63">
        <f t="shared" si="15"/>
        <v>1</v>
      </c>
      <c r="AH155" s="59">
        <f t="shared" si="16"/>
        <v>1</v>
      </c>
      <c r="AI155" s="69">
        <f t="shared" si="17"/>
        <v>1</v>
      </c>
    </row>
    <row r="156" spans="1:35" s="11" customFormat="1" ht="27" customHeight="1" x14ac:dyDescent="0.2">
      <c r="A156" s="7" t="s">
        <v>146</v>
      </c>
      <c r="B156" s="7" t="s">
        <v>332</v>
      </c>
      <c r="C156" s="8" t="s">
        <v>738</v>
      </c>
      <c r="D156" s="24"/>
      <c r="E156" s="25"/>
      <c r="F156" s="25"/>
      <c r="G156" s="25"/>
      <c r="H156" s="25"/>
      <c r="I156" s="26">
        <f t="shared" si="12"/>
        <v>0</v>
      </c>
      <c r="J156" s="7" t="s">
        <v>146</v>
      </c>
      <c r="K156" s="7" t="s">
        <v>332</v>
      </c>
      <c r="L156" s="7" t="s">
        <v>963</v>
      </c>
      <c r="M156" s="24">
        <v>1</v>
      </c>
      <c r="N156" s="25"/>
      <c r="O156" s="25"/>
      <c r="P156" s="25"/>
      <c r="Q156" s="25"/>
      <c r="R156" s="31">
        <f t="shared" si="13"/>
        <v>1</v>
      </c>
      <c r="S156" s="7" t="s">
        <v>146</v>
      </c>
      <c r="T156" s="7" t="s">
        <v>332</v>
      </c>
      <c r="U156" s="7" t="s">
        <v>571</v>
      </c>
      <c r="V156" s="24"/>
      <c r="W156" s="25"/>
      <c r="X156" s="25"/>
      <c r="Y156" s="25"/>
      <c r="Z156" s="25"/>
      <c r="AA156" s="49">
        <f t="shared" si="14"/>
        <v>0</v>
      </c>
      <c r="AG156" s="63">
        <f t="shared" si="15"/>
        <v>0</v>
      </c>
      <c r="AH156" s="59">
        <f t="shared" si="16"/>
        <v>0</v>
      </c>
      <c r="AI156" s="69">
        <f t="shared" si="17"/>
        <v>0</v>
      </c>
    </row>
    <row r="157" spans="1:35" s="11" customFormat="1" ht="27" customHeight="1" x14ac:dyDescent="0.2">
      <c r="A157" s="7" t="s">
        <v>147</v>
      </c>
      <c r="B157" s="7" t="s">
        <v>333</v>
      </c>
      <c r="C157" s="8" t="s">
        <v>739</v>
      </c>
      <c r="D157" s="24"/>
      <c r="E157" s="25"/>
      <c r="F157" s="25"/>
      <c r="G157" s="25">
        <v>2</v>
      </c>
      <c r="H157" s="25"/>
      <c r="I157" s="26">
        <f t="shared" si="12"/>
        <v>2</v>
      </c>
      <c r="J157" s="7" t="s">
        <v>147</v>
      </c>
      <c r="K157" s="7" t="s">
        <v>333</v>
      </c>
      <c r="L157" s="7" t="s">
        <v>964</v>
      </c>
      <c r="M157" s="24"/>
      <c r="N157" s="25"/>
      <c r="O157" s="25"/>
      <c r="P157" s="25">
        <v>1</v>
      </c>
      <c r="Q157" s="25"/>
      <c r="R157" s="31">
        <f t="shared" si="13"/>
        <v>1</v>
      </c>
      <c r="S157" s="7" t="s">
        <v>147</v>
      </c>
      <c r="T157" s="7" t="s">
        <v>333</v>
      </c>
      <c r="U157" s="7" t="s">
        <v>572</v>
      </c>
      <c r="V157" s="24"/>
      <c r="W157" s="25"/>
      <c r="X157" s="25"/>
      <c r="Y157" s="25">
        <v>1</v>
      </c>
      <c r="Z157" s="25"/>
      <c r="AA157" s="49">
        <f t="shared" si="14"/>
        <v>1</v>
      </c>
      <c r="AG157" s="63">
        <f t="shared" si="15"/>
        <v>2</v>
      </c>
      <c r="AH157" s="59">
        <f t="shared" si="16"/>
        <v>1</v>
      </c>
      <c r="AI157" s="69">
        <f t="shared" si="17"/>
        <v>1</v>
      </c>
    </row>
    <row r="158" spans="1:35" s="11" customFormat="1" ht="27" customHeight="1" x14ac:dyDescent="0.2">
      <c r="A158" s="7" t="s">
        <v>148</v>
      </c>
      <c r="B158" s="7" t="s">
        <v>334</v>
      </c>
      <c r="C158" s="8" t="s">
        <v>740</v>
      </c>
      <c r="D158" s="24"/>
      <c r="E158" s="25"/>
      <c r="F158" s="25"/>
      <c r="G158" s="25"/>
      <c r="H158" s="25"/>
      <c r="I158" s="26">
        <f t="shared" si="12"/>
        <v>0</v>
      </c>
      <c r="J158" s="7" t="s">
        <v>148</v>
      </c>
      <c r="K158" s="7" t="s">
        <v>334</v>
      </c>
      <c r="L158" s="7" t="s">
        <v>965</v>
      </c>
      <c r="M158" s="24"/>
      <c r="N158" s="25"/>
      <c r="O158" s="25">
        <v>2</v>
      </c>
      <c r="P158" s="25"/>
      <c r="Q158" s="25"/>
      <c r="R158" s="31">
        <f t="shared" si="13"/>
        <v>2</v>
      </c>
      <c r="S158" s="7" t="s">
        <v>148</v>
      </c>
      <c r="T158" s="7" t="s">
        <v>334</v>
      </c>
      <c r="U158" s="7" t="s">
        <v>573</v>
      </c>
      <c r="V158" s="24"/>
      <c r="W158" s="25"/>
      <c r="X158" s="25"/>
      <c r="Y158" s="25">
        <v>2</v>
      </c>
      <c r="Z158" s="25"/>
      <c r="AA158" s="49">
        <f t="shared" si="14"/>
        <v>2</v>
      </c>
      <c r="AG158" s="63">
        <f t="shared" si="15"/>
        <v>0</v>
      </c>
      <c r="AH158" s="59">
        <f t="shared" si="16"/>
        <v>2</v>
      </c>
      <c r="AI158" s="69">
        <f t="shared" si="17"/>
        <v>2</v>
      </c>
    </row>
    <row r="159" spans="1:35" s="11" customFormat="1" ht="27" customHeight="1" x14ac:dyDescent="0.2">
      <c r="A159" s="7" t="s">
        <v>149</v>
      </c>
      <c r="B159" s="7" t="s">
        <v>335</v>
      </c>
      <c r="C159" s="8" t="s">
        <v>741</v>
      </c>
      <c r="D159" s="24"/>
      <c r="E159" s="25"/>
      <c r="F159" s="25"/>
      <c r="G159" s="25"/>
      <c r="H159" s="25"/>
      <c r="I159" s="26">
        <f t="shared" si="12"/>
        <v>0</v>
      </c>
      <c r="J159" s="7" t="s">
        <v>149</v>
      </c>
      <c r="K159" s="7" t="s">
        <v>335</v>
      </c>
      <c r="L159" s="7" t="s">
        <v>415</v>
      </c>
      <c r="M159" s="24"/>
      <c r="N159" s="25"/>
      <c r="O159" s="25"/>
      <c r="P159" s="25"/>
      <c r="Q159" s="25"/>
      <c r="R159" s="31">
        <f t="shared" si="13"/>
        <v>0</v>
      </c>
      <c r="S159" s="7" t="s">
        <v>149</v>
      </c>
      <c r="T159" s="7" t="s">
        <v>335</v>
      </c>
      <c r="U159" s="7" t="s">
        <v>574</v>
      </c>
      <c r="V159" s="24"/>
      <c r="W159" s="25"/>
      <c r="X159" s="25"/>
      <c r="Y159" s="25"/>
      <c r="Z159" s="25"/>
      <c r="AA159" s="49">
        <f t="shared" si="14"/>
        <v>0</v>
      </c>
      <c r="AG159" s="63">
        <f t="shared" si="15"/>
        <v>0</v>
      </c>
      <c r="AH159" s="59">
        <f t="shared" si="16"/>
        <v>0</v>
      </c>
      <c r="AI159" s="69">
        <f t="shared" si="17"/>
        <v>0</v>
      </c>
    </row>
    <row r="160" spans="1:35" s="11" customFormat="1" ht="27" customHeight="1" x14ac:dyDescent="0.2">
      <c r="A160" s="7" t="s">
        <v>150</v>
      </c>
      <c r="B160" s="7" t="s">
        <v>336</v>
      </c>
      <c r="C160" s="9" t="s">
        <v>742</v>
      </c>
      <c r="D160" s="27"/>
      <c r="E160" s="25"/>
      <c r="F160" s="25"/>
      <c r="G160" s="25"/>
      <c r="H160" s="25">
        <v>2</v>
      </c>
      <c r="I160" s="26">
        <f t="shared" si="12"/>
        <v>1</v>
      </c>
      <c r="J160" s="7" t="s">
        <v>150</v>
      </c>
      <c r="K160" s="7" t="s">
        <v>336</v>
      </c>
      <c r="L160" s="7" t="s">
        <v>966</v>
      </c>
      <c r="M160" s="27"/>
      <c r="N160" s="25"/>
      <c r="O160" s="25"/>
      <c r="P160" s="25"/>
      <c r="Q160" s="25"/>
      <c r="R160" s="31">
        <f t="shared" si="13"/>
        <v>0</v>
      </c>
      <c r="S160" s="7" t="s">
        <v>150</v>
      </c>
      <c r="T160" s="7" t="s">
        <v>336</v>
      </c>
      <c r="U160" s="7" t="s">
        <v>575</v>
      </c>
      <c r="V160" s="27"/>
      <c r="W160" s="25"/>
      <c r="X160" s="25">
        <v>1</v>
      </c>
      <c r="Y160" s="25"/>
      <c r="Z160" s="25"/>
      <c r="AA160" s="49">
        <f t="shared" si="14"/>
        <v>1</v>
      </c>
      <c r="AG160" s="63">
        <f t="shared" si="15"/>
        <v>0</v>
      </c>
      <c r="AH160" s="59">
        <f t="shared" si="16"/>
        <v>0</v>
      </c>
      <c r="AI160" s="69">
        <f t="shared" si="17"/>
        <v>1</v>
      </c>
    </row>
    <row r="161" spans="1:35" s="11" customFormat="1" ht="27" customHeight="1" x14ac:dyDescent="0.2">
      <c r="A161" s="7" t="s">
        <v>151</v>
      </c>
      <c r="B161" s="7" t="s">
        <v>337</v>
      </c>
      <c r="C161" s="8" t="s">
        <v>743</v>
      </c>
      <c r="D161" s="24"/>
      <c r="E161" s="25"/>
      <c r="F161" s="25"/>
      <c r="G161" s="25"/>
      <c r="H161" s="25"/>
      <c r="I161" s="26">
        <f t="shared" si="12"/>
        <v>0</v>
      </c>
      <c r="J161" s="7" t="s">
        <v>151</v>
      </c>
      <c r="K161" s="7" t="s">
        <v>337</v>
      </c>
      <c r="L161" s="7" t="s">
        <v>967</v>
      </c>
      <c r="M161" s="24"/>
      <c r="N161" s="25"/>
      <c r="O161" s="25"/>
      <c r="P161" s="25"/>
      <c r="Q161" s="25"/>
      <c r="R161" s="31">
        <f t="shared" si="13"/>
        <v>0</v>
      </c>
      <c r="S161" s="7" t="s">
        <v>151</v>
      </c>
      <c r="T161" s="7" t="s">
        <v>337</v>
      </c>
      <c r="U161" s="7" t="s">
        <v>576</v>
      </c>
      <c r="V161" s="24"/>
      <c r="W161" s="25"/>
      <c r="X161" s="25"/>
      <c r="Y161" s="25">
        <v>1</v>
      </c>
      <c r="Z161" s="25"/>
      <c r="AA161" s="49">
        <f t="shared" si="14"/>
        <v>1</v>
      </c>
      <c r="AG161" s="63">
        <f t="shared" si="15"/>
        <v>0</v>
      </c>
      <c r="AH161" s="59">
        <f t="shared" si="16"/>
        <v>0</v>
      </c>
      <c r="AI161" s="69">
        <f t="shared" si="17"/>
        <v>1</v>
      </c>
    </row>
    <row r="162" spans="1:35" s="11" customFormat="1" ht="27" customHeight="1" x14ac:dyDescent="0.2">
      <c r="A162" s="7" t="s">
        <v>152</v>
      </c>
      <c r="B162" s="7" t="s">
        <v>338</v>
      </c>
      <c r="C162" s="8" t="s">
        <v>744</v>
      </c>
      <c r="D162" s="24"/>
      <c r="E162" s="25"/>
      <c r="F162" s="25">
        <v>1</v>
      </c>
      <c r="G162" s="25"/>
      <c r="H162" s="25"/>
      <c r="I162" s="26">
        <f t="shared" si="12"/>
        <v>1</v>
      </c>
      <c r="J162" s="7" t="s">
        <v>152</v>
      </c>
      <c r="K162" s="7" t="s">
        <v>338</v>
      </c>
      <c r="L162" s="7" t="s">
        <v>968</v>
      </c>
      <c r="M162" s="24">
        <v>2</v>
      </c>
      <c r="N162" s="25"/>
      <c r="O162" s="25">
        <v>2</v>
      </c>
      <c r="P162" s="25"/>
      <c r="Q162" s="25"/>
      <c r="R162" s="31">
        <f t="shared" si="13"/>
        <v>4</v>
      </c>
      <c r="S162" s="7" t="s">
        <v>152</v>
      </c>
      <c r="T162" s="7" t="s">
        <v>338</v>
      </c>
      <c r="U162" s="7" t="s">
        <v>577</v>
      </c>
      <c r="V162" s="24"/>
      <c r="W162" s="25"/>
      <c r="X162" s="25">
        <v>1</v>
      </c>
      <c r="Y162" s="25"/>
      <c r="Z162" s="25"/>
      <c r="AA162" s="49">
        <f t="shared" si="14"/>
        <v>1</v>
      </c>
      <c r="AG162" s="63">
        <f t="shared" si="15"/>
        <v>1</v>
      </c>
      <c r="AH162" s="59">
        <f t="shared" si="16"/>
        <v>2</v>
      </c>
      <c r="AI162" s="69">
        <f t="shared" si="17"/>
        <v>1</v>
      </c>
    </row>
    <row r="163" spans="1:35" s="11" customFormat="1" ht="27" customHeight="1" x14ac:dyDescent="0.2">
      <c r="A163" s="7" t="s">
        <v>153</v>
      </c>
      <c r="B163" s="7" t="s">
        <v>339</v>
      </c>
      <c r="C163" s="9" t="s">
        <v>745</v>
      </c>
      <c r="D163" s="27"/>
      <c r="E163" s="25"/>
      <c r="F163" s="25"/>
      <c r="G163" s="25"/>
      <c r="H163" s="25"/>
      <c r="I163" s="26">
        <f t="shared" si="12"/>
        <v>0</v>
      </c>
      <c r="J163" s="7" t="s">
        <v>153</v>
      </c>
      <c r="K163" s="7" t="s">
        <v>339</v>
      </c>
      <c r="L163" s="7" t="s">
        <v>969</v>
      </c>
      <c r="M163" s="27"/>
      <c r="N163" s="25"/>
      <c r="O163" s="25"/>
      <c r="P163" s="25"/>
      <c r="Q163" s="25">
        <v>1</v>
      </c>
      <c r="R163" s="31">
        <f t="shared" si="13"/>
        <v>0.5</v>
      </c>
      <c r="S163" s="7" t="s">
        <v>153</v>
      </c>
      <c r="T163" s="7" t="s">
        <v>339</v>
      </c>
      <c r="U163" s="7" t="s">
        <v>578</v>
      </c>
      <c r="V163" s="27"/>
      <c r="W163" s="25"/>
      <c r="X163" s="25"/>
      <c r="Y163" s="25">
        <v>1</v>
      </c>
      <c r="Z163" s="25"/>
      <c r="AA163" s="49">
        <f t="shared" si="14"/>
        <v>1</v>
      </c>
      <c r="AG163" s="63">
        <f t="shared" si="15"/>
        <v>0</v>
      </c>
      <c r="AH163" s="59">
        <f t="shared" si="16"/>
        <v>0</v>
      </c>
      <c r="AI163" s="69">
        <f t="shared" si="17"/>
        <v>1</v>
      </c>
    </row>
    <row r="164" spans="1:35" s="11" customFormat="1" ht="27" customHeight="1" x14ac:dyDescent="0.2">
      <c r="A164" s="7" t="s">
        <v>154</v>
      </c>
      <c r="B164" s="7" t="s">
        <v>340</v>
      </c>
      <c r="C164" s="8" t="s">
        <v>746</v>
      </c>
      <c r="D164" s="24"/>
      <c r="E164" s="25"/>
      <c r="F164" s="25"/>
      <c r="G164" s="25"/>
      <c r="H164" s="25"/>
      <c r="I164" s="26">
        <f t="shared" si="12"/>
        <v>0</v>
      </c>
      <c r="J164" s="7" t="s">
        <v>154</v>
      </c>
      <c r="K164" s="7" t="s">
        <v>340</v>
      </c>
      <c r="L164" s="7" t="s">
        <v>416</v>
      </c>
      <c r="M164" s="24"/>
      <c r="N164" s="25"/>
      <c r="O164" s="25"/>
      <c r="P164" s="25"/>
      <c r="Q164" s="25">
        <v>1</v>
      </c>
      <c r="R164" s="31">
        <f t="shared" si="13"/>
        <v>0.5</v>
      </c>
      <c r="S164" s="7" t="s">
        <v>154</v>
      </c>
      <c r="T164" s="7" t="s">
        <v>340</v>
      </c>
      <c r="U164" s="7" t="s">
        <v>579</v>
      </c>
      <c r="V164" s="24"/>
      <c r="W164" s="25"/>
      <c r="X164" s="25"/>
      <c r="Y164" s="25">
        <v>1</v>
      </c>
      <c r="Z164" s="25"/>
      <c r="AA164" s="49">
        <f t="shared" si="14"/>
        <v>1</v>
      </c>
      <c r="AG164" s="63">
        <f t="shared" si="15"/>
        <v>0</v>
      </c>
      <c r="AH164" s="59">
        <f t="shared" si="16"/>
        <v>0</v>
      </c>
      <c r="AI164" s="69">
        <f t="shared" si="17"/>
        <v>1</v>
      </c>
    </row>
    <row r="165" spans="1:35" s="11" customFormat="1" ht="27" customHeight="1" x14ac:dyDescent="0.2">
      <c r="A165" s="7" t="s">
        <v>155</v>
      </c>
      <c r="B165" s="7" t="s">
        <v>341</v>
      </c>
      <c r="C165" s="8" t="s">
        <v>747</v>
      </c>
      <c r="D165" s="24"/>
      <c r="E165" s="25"/>
      <c r="F165" s="25"/>
      <c r="G165" s="25"/>
      <c r="H165" s="25"/>
      <c r="I165" s="26">
        <f t="shared" si="12"/>
        <v>0</v>
      </c>
      <c r="J165" s="7" t="s">
        <v>155</v>
      </c>
      <c r="K165" s="7" t="s">
        <v>341</v>
      </c>
      <c r="L165" s="7" t="s">
        <v>970</v>
      </c>
      <c r="M165" s="24"/>
      <c r="N165" s="25"/>
      <c r="O165" s="25"/>
      <c r="P165" s="25"/>
      <c r="Q165" s="25"/>
      <c r="R165" s="31">
        <f t="shared" si="13"/>
        <v>0</v>
      </c>
      <c r="S165" s="7" t="s">
        <v>155</v>
      </c>
      <c r="T165" s="7" t="s">
        <v>341</v>
      </c>
      <c r="U165" s="7" t="s">
        <v>580</v>
      </c>
      <c r="V165" s="24"/>
      <c r="W165" s="25"/>
      <c r="X165" s="25"/>
      <c r="Y165" s="25">
        <v>2</v>
      </c>
      <c r="Z165" s="25"/>
      <c r="AA165" s="49">
        <f t="shared" si="14"/>
        <v>2</v>
      </c>
      <c r="AG165" s="63">
        <f t="shared" si="15"/>
        <v>0</v>
      </c>
      <c r="AH165" s="59">
        <f t="shared" si="16"/>
        <v>0</v>
      </c>
      <c r="AI165" s="69">
        <f t="shared" si="17"/>
        <v>2</v>
      </c>
    </row>
    <row r="166" spans="1:35" s="11" customFormat="1" ht="27" customHeight="1" x14ac:dyDescent="0.2">
      <c r="A166" s="7" t="s">
        <v>156</v>
      </c>
      <c r="B166" s="7" t="s">
        <v>342</v>
      </c>
      <c r="C166" s="8" t="s">
        <v>748</v>
      </c>
      <c r="D166" s="24"/>
      <c r="E166" s="25"/>
      <c r="F166" s="25"/>
      <c r="G166" s="25">
        <v>2</v>
      </c>
      <c r="H166" s="25"/>
      <c r="I166" s="26">
        <f t="shared" si="12"/>
        <v>2</v>
      </c>
      <c r="J166" s="7" t="s">
        <v>156</v>
      </c>
      <c r="K166" s="7" t="s">
        <v>342</v>
      </c>
      <c r="L166" s="7" t="s">
        <v>971</v>
      </c>
      <c r="M166" s="24">
        <v>2</v>
      </c>
      <c r="N166" s="25"/>
      <c r="O166" s="25">
        <v>1</v>
      </c>
      <c r="P166" s="25"/>
      <c r="Q166" s="25"/>
      <c r="R166" s="31">
        <f t="shared" si="13"/>
        <v>3</v>
      </c>
      <c r="S166" s="7" t="s">
        <v>156</v>
      </c>
      <c r="T166" s="7" t="s">
        <v>342</v>
      </c>
      <c r="U166" s="7" t="s">
        <v>581</v>
      </c>
      <c r="V166" s="24"/>
      <c r="W166" s="25"/>
      <c r="X166" s="25"/>
      <c r="Y166" s="25">
        <v>1</v>
      </c>
      <c r="Z166" s="25"/>
      <c r="AA166" s="49">
        <f t="shared" si="14"/>
        <v>1</v>
      </c>
      <c r="AG166" s="63">
        <f t="shared" si="15"/>
        <v>2</v>
      </c>
      <c r="AH166" s="59">
        <f t="shared" si="16"/>
        <v>1</v>
      </c>
      <c r="AI166" s="69">
        <f t="shared" si="17"/>
        <v>1</v>
      </c>
    </row>
    <row r="167" spans="1:35" s="11" customFormat="1" ht="27" customHeight="1" x14ac:dyDescent="0.2">
      <c r="A167" s="7" t="s">
        <v>157</v>
      </c>
      <c r="B167" s="7" t="s">
        <v>343</v>
      </c>
      <c r="C167" s="8" t="s">
        <v>749</v>
      </c>
      <c r="D167" s="24"/>
      <c r="E167" s="25"/>
      <c r="F167" s="25"/>
      <c r="G167" s="25"/>
      <c r="H167" s="25"/>
      <c r="I167" s="26">
        <f t="shared" si="12"/>
        <v>0</v>
      </c>
      <c r="J167" s="7" t="s">
        <v>157</v>
      </c>
      <c r="K167" s="7" t="s">
        <v>343</v>
      </c>
      <c r="L167" s="7" t="s">
        <v>972</v>
      </c>
      <c r="M167" s="24"/>
      <c r="N167" s="25"/>
      <c r="O167" s="25"/>
      <c r="P167" s="25"/>
      <c r="Q167" s="25"/>
      <c r="R167" s="31">
        <f t="shared" si="13"/>
        <v>0</v>
      </c>
      <c r="S167" s="7" t="s">
        <v>157</v>
      </c>
      <c r="T167" s="7" t="s">
        <v>343</v>
      </c>
      <c r="U167" s="7" t="s">
        <v>582</v>
      </c>
      <c r="V167" s="24"/>
      <c r="W167" s="25"/>
      <c r="X167" s="25"/>
      <c r="Y167" s="25"/>
      <c r="Z167" s="25"/>
      <c r="AA167" s="49">
        <f t="shared" si="14"/>
        <v>0</v>
      </c>
      <c r="AG167" s="63">
        <f t="shared" si="15"/>
        <v>0</v>
      </c>
      <c r="AH167" s="59">
        <f t="shared" si="16"/>
        <v>0</v>
      </c>
      <c r="AI167" s="69">
        <f t="shared" si="17"/>
        <v>0</v>
      </c>
    </row>
    <row r="168" spans="1:35" s="11" customFormat="1" ht="27" customHeight="1" x14ac:dyDescent="0.2">
      <c r="A168" s="7" t="s">
        <v>158</v>
      </c>
      <c r="B168" s="7" t="s">
        <v>344</v>
      </c>
      <c r="C168" s="8" t="s">
        <v>750</v>
      </c>
      <c r="D168" s="24"/>
      <c r="E168" s="25"/>
      <c r="F168" s="25"/>
      <c r="G168" s="25"/>
      <c r="H168" s="25"/>
      <c r="I168" s="26">
        <f t="shared" si="12"/>
        <v>0</v>
      </c>
      <c r="J168" s="7" t="s">
        <v>158</v>
      </c>
      <c r="K168" s="7" t="s">
        <v>344</v>
      </c>
      <c r="L168" s="7" t="s">
        <v>973</v>
      </c>
      <c r="M168" s="24">
        <v>2</v>
      </c>
      <c r="N168" s="25"/>
      <c r="O168" s="25">
        <v>1</v>
      </c>
      <c r="P168" s="25"/>
      <c r="Q168" s="25"/>
      <c r="R168" s="31">
        <f t="shared" si="13"/>
        <v>3</v>
      </c>
      <c r="S168" s="7" t="s">
        <v>158</v>
      </c>
      <c r="T168" s="7" t="s">
        <v>344</v>
      </c>
      <c r="U168" s="7" t="s">
        <v>583</v>
      </c>
      <c r="V168" s="24"/>
      <c r="W168" s="25"/>
      <c r="X168" s="25"/>
      <c r="Y168" s="25"/>
      <c r="Z168" s="25"/>
      <c r="AA168" s="49">
        <f t="shared" si="14"/>
        <v>0</v>
      </c>
      <c r="AG168" s="63">
        <f t="shared" si="15"/>
        <v>0</v>
      </c>
      <c r="AH168" s="59">
        <f t="shared" si="16"/>
        <v>1</v>
      </c>
      <c r="AI168" s="69">
        <f t="shared" si="17"/>
        <v>0</v>
      </c>
    </row>
    <row r="169" spans="1:35" s="11" customFormat="1" ht="27" customHeight="1" x14ac:dyDescent="0.2">
      <c r="A169" s="7" t="s">
        <v>159</v>
      </c>
      <c r="B169" s="7" t="s">
        <v>345</v>
      </c>
      <c r="C169" s="8" t="s">
        <v>1022</v>
      </c>
      <c r="D169" s="24"/>
      <c r="E169" s="25"/>
      <c r="F169" s="25"/>
      <c r="G169" s="25"/>
      <c r="H169" s="25">
        <v>1</v>
      </c>
      <c r="I169" s="26">
        <f t="shared" si="12"/>
        <v>0.5</v>
      </c>
      <c r="J169" s="7" t="s">
        <v>159</v>
      </c>
      <c r="K169" s="7" t="s">
        <v>345</v>
      </c>
      <c r="L169" s="7" t="s">
        <v>417</v>
      </c>
      <c r="M169" s="24"/>
      <c r="N169" s="25"/>
      <c r="O169" s="25"/>
      <c r="P169" s="25">
        <v>2</v>
      </c>
      <c r="Q169" s="25"/>
      <c r="R169" s="31">
        <f t="shared" si="13"/>
        <v>2</v>
      </c>
      <c r="S169" s="7" t="s">
        <v>159</v>
      </c>
      <c r="T169" s="7" t="s">
        <v>345</v>
      </c>
      <c r="U169" s="7" t="s">
        <v>584</v>
      </c>
      <c r="V169" s="24"/>
      <c r="W169" s="25"/>
      <c r="X169" s="25"/>
      <c r="Y169" s="25"/>
      <c r="Z169" s="25"/>
      <c r="AA169" s="49">
        <f t="shared" si="14"/>
        <v>0</v>
      </c>
      <c r="AG169" s="63">
        <f t="shared" si="15"/>
        <v>0</v>
      </c>
      <c r="AH169" s="59">
        <f t="shared" si="16"/>
        <v>2</v>
      </c>
      <c r="AI169" s="69">
        <f t="shared" si="17"/>
        <v>0</v>
      </c>
    </row>
    <row r="170" spans="1:35" s="11" customFormat="1" ht="27" customHeight="1" x14ac:dyDescent="0.2">
      <c r="A170" s="7" t="s">
        <v>160</v>
      </c>
      <c r="B170" s="7" t="s">
        <v>346</v>
      </c>
      <c r="C170" s="8" t="s">
        <v>751</v>
      </c>
      <c r="D170" s="24"/>
      <c r="E170" s="25"/>
      <c r="F170" s="25"/>
      <c r="G170" s="25"/>
      <c r="H170" s="25"/>
      <c r="I170" s="26">
        <f t="shared" si="12"/>
        <v>0</v>
      </c>
      <c r="J170" s="7" t="s">
        <v>160</v>
      </c>
      <c r="K170" s="7" t="s">
        <v>346</v>
      </c>
      <c r="L170" s="7" t="s">
        <v>974</v>
      </c>
      <c r="M170" s="24">
        <v>1</v>
      </c>
      <c r="N170" s="25"/>
      <c r="O170" s="25"/>
      <c r="P170" s="25"/>
      <c r="Q170" s="25"/>
      <c r="R170" s="31">
        <f t="shared" si="13"/>
        <v>1</v>
      </c>
      <c r="S170" s="7" t="s">
        <v>160</v>
      </c>
      <c r="T170" s="7" t="s">
        <v>346</v>
      </c>
      <c r="U170" s="7" t="s">
        <v>585</v>
      </c>
      <c r="V170" s="24"/>
      <c r="W170" s="25"/>
      <c r="X170" s="25">
        <v>2</v>
      </c>
      <c r="Y170" s="25"/>
      <c r="Z170" s="25"/>
      <c r="AA170" s="49">
        <f t="shared" si="14"/>
        <v>2</v>
      </c>
      <c r="AG170" s="63">
        <f t="shared" si="15"/>
        <v>0</v>
      </c>
      <c r="AH170" s="59">
        <f t="shared" si="16"/>
        <v>0</v>
      </c>
      <c r="AI170" s="69">
        <f t="shared" si="17"/>
        <v>2</v>
      </c>
    </row>
    <row r="171" spans="1:35" s="11" customFormat="1" ht="27" customHeight="1" x14ac:dyDescent="0.2">
      <c r="A171" s="7" t="s">
        <v>161</v>
      </c>
      <c r="B171" s="7" t="s">
        <v>347</v>
      </c>
      <c r="C171" s="8" t="s">
        <v>752</v>
      </c>
      <c r="D171" s="24"/>
      <c r="E171" s="25"/>
      <c r="F171" s="25"/>
      <c r="G171" s="25"/>
      <c r="H171" s="25">
        <v>2</v>
      </c>
      <c r="I171" s="26">
        <f t="shared" si="12"/>
        <v>1</v>
      </c>
      <c r="J171" s="7" t="s">
        <v>161</v>
      </c>
      <c r="K171" s="7" t="s">
        <v>347</v>
      </c>
      <c r="L171" s="7" t="s">
        <v>418</v>
      </c>
      <c r="M171" s="24"/>
      <c r="N171" s="25"/>
      <c r="O171" s="25"/>
      <c r="P171" s="25"/>
      <c r="Q171" s="25"/>
      <c r="R171" s="31">
        <f t="shared" si="13"/>
        <v>0</v>
      </c>
      <c r="S171" s="7" t="s">
        <v>161</v>
      </c>
      <c r="T171" s="7" t="s">
        <v>347</v>
      </c>
      <c r="U171" s="7" t="s">
        <v>586</v>
      </c>
      <c r="V171" s="24">
        <v>1</v>
      </c>
      <c r="W171" s="25"/>
      <c r="X171" s="25"/>
      <c r="Y171" s="25"/>
      <c r="Z171" s="25">
        <v>2</v>
      </c>
      <c r="AA171" s="49">
        <f t="shared" si="14"/>
        <v>2</v>
      </c>
      <c r="AG171" s="63">
        <f t="shared" si="15"/>
        <v>0</v>
      </c>
      <c r="AH171" s="59">
        <f t="shared" si="16"/>
        <v>0</v>
      </c>
      <c r="AI171" s="69">
        <f t="shared" si="17"/>
        <v>0</v>
      </c>
    </row>
    <row r="172" spans="1:35" s="11" customFormat="1" ht="27" customHeight="1" x14ac:dyDescent="0.2">
      <c r="A172" s="7" t="s">
        <v>162</v>
      </c>
      <c r="B172" s="7" t="s">
        <v>348</v>
      </c>
      <c r="C172" s="9" t="s">
        <v>753</v>
      </c>
      <c r="D172" s="27"/>
      <c r="E172" s="25"/>
      <c r="F172" s="25"/>
      <c r="G172" s="25"/>
      <c r="H172" s="25"/>
      <c r="I172" s="26">
        <f t="shared" si="12"/>
        <v>0</v>
      </c>
      <c r="J172" s="7" t="s">
        <v>162</v>
      </c>
      <c r="K172" s="7" t="s">
        <v>348</v>
      </c>
      <c r="L172" s="7" t="s">
        <v>419</v>
      </c>
      <c r="M172" s="27"/>
      <c r="N172" s="25"/>
      <c r="O172" s="25"/>
      <c r="P172" s="25"/>
      <c r="Q172" s="25"/>
      <c r="R172" s="31">
        <f t="shared" si="13"/>
        <v>0</v>
      </c>
      <c r="S172" s="7" t="s">
        <v>162</v>
      </c>
      <c r="T172" s="7" t="s">
        <v>348</v>
      </c>
      <c r="U172" s="7" t="s">
        <v>587</v>
      </c>
      <c r="V172" s="27"/>
      <c r="W172" s="25"/>
      <c r="X172" s="25"/>
      <c r="Y172" s="25">
        <v>2</v>
      </c>
      <c r="Z172" s="25"/>
      <c r="AA172" s="49">
        <f t="shared" si="14"/>
        <v>2</v>
      </c>
      <c r="AG172" s="63">
        <f t="shared" si="15"/>
        <v>0</v>
      </c>
      <c r="AH172" s="59">
        <f t="shared" si="16"/>
        <v>0</v>
      </c>
      <c r="AI172" s="69">
        <f t="shared" si="17"/>
        <v>2</v>
      </c>
    </row>
    <row r="173" spans="1:35" s="11" customFormat="1" ht="27" customHeight="1" x14ac:dyDescent="0.2">
      <c r="A173" s="7" t="s">
        <v>163</v>
      </c>
      <c r="B173" s="7" t="s">
        <v>349</v>
      </c>
      <c r="C173" s="8" t="s">
        <v>754</v>
      </c>
      <c r="D173" s="24"/>
      <c r="E173" s="25"/>
      <c r="F173" s="25">
        <v>1</v>
      </c>
      <c r="G173" s="25"/>
      <c r="H173" s="25"/>
      <c r="I173" s="26">
        <f t="shared" si="12"/>
        <v>1</v>
      </c>
      <c r="J173" s="7" t="s">
        <v>163</v>
      </c>
      <c r="K173" s="7" t="s">
        <v>349</v>
      </c>
      <c r="L173" s="7" t="s">
        <v>420</v>
      </c>
      <c r="M173" s="24"/>
      <c r="N173" s="25"/>
      <c r="O173" s="25">
        <v>1</v>
      </c>
      <c r="P173" s="25"/>
      <c r="Q173" s="25"/>
      <c r="R173" s="31">
        <f t="shared" si="13"/>
        <v>1</v>
      </c>
      <c r="S173" s="7" t="s">
        <v>163</v>
      </c>
      <c r="T173" s="7" t="s">
        <v>349</v>
      </c>
      <c r="U173" s="7" t="s">
        <v>588</v>
      </c>
      <c r="V173" s="24"/>
      <c r="W173" s="25"/>
      <c r="X173" s="25">
        <v>2</v>
      </c>
      <c r="Y173" s="25"/>
      <c r="Z173" s="25"/>
      <c r="AA173" s="49">
        <f t="shared" si="14"/>
        <v>2</v>
      </c>
      <c r="AG173" s="63">
        <f t="shared" si="15"/>
        <v>1</v>
      </c>
      <c r="AH173" s="59">
        <f t="shared" si="16"/>
        <v>1</v>
      </c>
      <c r="AI173" s="69">
        <f t="shared" si="17"/>
        <v>2</v>
      </c>
    </row>
    <row r="174" spans="1:35" s="11" customFormat="1" ht="27" customHeight="1" x14ac:dyDescent="0.2">
      <c r="A174" s="7" t="s">
        <v>164</v>
      </c>
      <c r="B174" s="7" t="s">
        <v>350</v>
      </c>
      <c r="C174" s="8" t="s">
        <v>755</v>
      </c>
      <c r="D174" s="24">
        <v>2</v>
      </c>
      <c r="E174" s="25"/>
      <c r="F174" s="25"/>
      <c r="G174" s="25"/>
      <c r="H174" s="25">
        <v>1</v>
      </c>
      <c r="I174" s="26">
        <f t="shared" si="12"/>
        <v>2.5</v>
      </c>
      <c r="J174" s="7" t="s">
        <v>164</v>
      </c>
      <c r="K174" s="7" t="s">
        <v>350</v>
      </c>
      <c r="L174" s="7" t="s">
        <v>421</v>
      </c>
      <c r="M174" s="24"/>
      <c r="N174" s="25"/>
      <c r="O174" s="25"/>
      <c r="P174" s="25"/>
      <c r="Q174" s="25"/>
      <c r="R174" s="31">
        <f t="shared" si="13"/>
        <v>0</v>
      </c>
      <c r="S174" s="7" t="s">
        <v>164</v>
      </c>
      <c r="T174" s="7" t="s">
        <v>350</v>
      </c>
      <c r="U174" s="7" t="s">
        <v>589</v>
      </c>
      <c r="V174" s="24"/>
      <c r="W174" s="25">
        <v>2</v>
      </c>
      <c r="X174" s="25"/>
      <c r="Y174" s="25"/>
      <c r="Z174" s="25"/>
      <c r="AA174" s="49">
        <f t="shared" si="14"/>
        <v>2</v>
      </c>
      <c r="AG174" s="63">
        <f t="shared" si="15"/>
        <v>0</v>
      </c>
      <c r="AH174" s="59">
        <f t="shared" si="16"/>
        <v>0</v>
      </c>
      <c r="AI174" s="69">
        <f t="shared" si="17"/>
        <v>2</v>
      </c>
    </row>
    <row r="175" spans="1:35" s="11" customFormat="1" ht="27" customHeight="1" x14ac:dyDescent="0.2">
      <c r="A175" s="7" t="s">
        <v>165</v>
      </c>
      <c r="B175" s="7" t="s">
        <v>351</v>
      </c>
      <c r="C175" s="9" t="s">
        <v>756</v>
      </c>
      <c r="D175" s="27"/>
      <c r="E175" s="25"/>
      <c r="F175" s="25"/>
      <c r="G175" s="25"/>
      <c r="H175" s="25"/>
      <c r="I175" s="26">
        <f t="shared" si="12"/>
        <v>0</v>
      </c>
      <c r="J175" s="7" t="s">
        <v>165</v>
      </c>
      <c r="K175" s="7" t="s">
        <v>351</v>
      </c>
      <c r="L175" s="7" t="s">
        <v>422</v>
      </c>
      <c r="M175" s="27"/>
      <c r="N175" s="25"/>
      <c r="O175" s="25"/>
      <c r="P175" s="25"/>
      <c r="Q175" s="25">
        <v>2</v>
      </c>
      <c r="R175" s="31">
        <f t="shared" si="13"/>
        <v>1</v>
      </c>
      <c r="S175" s="7" t="s">
        <v>165</v>
      </c>
      <c r="T175" s="7" t="s">
        <v>351</v>
      </c>
      <c r="U175" s="7" t="s">
        <v>590</v>
      </c>
      <c r="V175" s="27"/>
      <c r="W175" s="25"/>
      <c r="X175" s="25"/>
      <c r="Y175" s="25">
        <v>2</v>
      </c>
      <c r="Z175" s="25"/>
      <c r="AA175" s="49">
        <f t="shared" si="14"/>
        <v>2</v>
      </c>
      <c r="AG175" s="63">
        <f t="shared" si="15"/>
        <v>0</v>
      </c>
      <c r="AH175" s="59">
        <f t="shared" si="16"/>
        <v>0</v>
      </c>
      <c r="AI175" s="69">
        <f t="shared" si="17"/>
        <v>2</v>
      </c>
    </row>
    <row r="176" spans="1:35" s="11" customFormat="1" ht="27" customHeight="1" x14ac:dyDescent="0.2">
      <c r="A176" s="7" t="s">
        <v>166</v>
      </c>
      <c r="B176" s="7" t="s">
        <v>352</v>
      </c>
      <c r="C176" s="8" t="s">
        <v>757</v>
      </c>
      <c r="D176" s="24"/>
      <c r="E176" s="25"/>
      <c r="F176" s="25"/>
      <c r="G176" s="25">
        <v>2</v>
      </c>
      <c r="H176" s="25"/>
      <c r="I176" s="26">
        <f t="shared" si="12"/>
        <v>2</v>
      </c>
      <c r="J176" s="7" t="s">
        <v>166</v>
      </c>
      <c r="K176" s="7" t="s">
        <v>352</v>
      </c>
      <c r="L176" s="7" t="s">
        <v>975</v>
      </c>
      <c r="M176" s="24"/>
      <c r="N176" s="25"/>
      <c r="O176" s="25"/>
      <c r="P176" s="25"/>
      <c r="Q176" s="25"/>
      <c r="R176" s="31">
        <f t="shared" si="13"/>
        <v>0</v>
      </c>
      <c r="S176" s="7" t="s">
        <v>166</v>
      </c>
      <c r="T176" s="7" t="s">
        <v>352</v>
      </c>
      <c r="U176" s="7" t="s">
        <v>591</v>
      </c>
      <c r="V176" s="24"/>
      <c r="W176" s="25"/>
      <c r="X176" s="25"/>
      <c r="Y176" s="25">
        <v>2</v>
      </c>
      <c r="Z176" s="25"/>
      <c r="AA176" s="49">
        <f t="shared" si="14"/>
        <v>2</v>
      </c>
      <c r="AG176" s="63">
        <f t="shared" si="15"/>
        <v>2</v>
      </c>
      <c r="AH176" s="59">
        <f t="shared" si="16"/>
        <v>0</v>
      </c>
      <c r="AI176" s="69">
        <f t="shared" si="17"/>
        <v>2</v>
      </c>
    </row>
    <row r="177" spans="1:35" s="11" customFormat="1" ht="27" customHeight="1" x14ac:dyDescent="0.2">
      <c r="A177" s="7" t="s">
        <v>167</v>
      </c>
      <c r="B177" s="7" t="s">
        <v>353</v>
      </c>
      <c r="C177" s="8" t="s">
        <v>758</v>
      </c>
      <c r="D177" s="24"/>
      <c r="E177" s="25"/>
      <c r="F177" s="25">
        <v>2</v>
      </c>
      <c r="G177" s="25"/>
      <c r="H177" s="25"/>
      <c r="I177" s="26">
        <f t="shared" si="12"/>
        <v>2</v>
      </c>
      <c r="J177" s="7" t="s">
        <v>167</v>
      </c>
      <c r="K177" s="7" t="s">
        <v>353</v>
      </c>
      <c r="L177" s="7" t="s">
        <v>976</v>
      </c>
      <c r="M177" s="24"/>
      <c r="N177" s="25"/>
      <c r="O177" s="25"/>
      <c r="P177" s="25">
        <v>2</v>
      </c>
      <c r="Q177" s="25"/>
      <c r="R177" s="31">
        <f t="shared" si="13"/>
        <v>2</v>
      </c>
      <c r="S177" s="7" t="s">
        <v>167</v>
      </c>
      <c r="T177" s="7" t="s">
        <v>353</v>
      </c>
      <c r="U177" s="7" t="s">
        <v>592</v>
      </c>
      <c r="V177" s="24"/>
      <c r="W177" s="25"/>
      <c r="X177" s="25"/>
      <c r="Y177" s="25"/>
      <c r="Z177" s="25"/>
      <c r="AA177" s="49">
        <f t="shared" si="14"/>
        <v>0</v>
      </c>
      <c r="AG177" s="63">
        <f t="shared" si="15"/>
        <v>2</v>
      </c>
      <c r="AH177" s="59">
        <f t="shared" si="16"/>
        <v>2</v>
      </c>
      <c r="AI177" s="69">
        <f t="shared" si="17"/>
        <v>0</v>
      </c>
    </row>
    <row r="178" spans="1:35" s="11" customFormat="1" ht="27" customHeight="1" x14ac:dyDescent="0.2">
      <c r="A178" s="7" t="s">
        <v>168</v>
      </c>
      <c r="B178" s="7" t="s">
        <v>354</v>
      </c>
      <c r="C178" s="8" t="s">
        <v>759</v>
      </c>
      <c r="D178" s="24">
        <v>2</v>
      </c>
      <c r="E178" s="25"/>
      <c r="F178" s="25"/>
      <c r="G178" s="25"/>
      <c r="H178" s="25"/>
      <c r="I178" s="26">
        <f t="shared" si="12"/>
        <v>2</v>
      </c>
      <c r="J178" s="7" t="s">
        <v>168</v>
      </c>
      <c r="K178" s="7" t="s">
        <v>354</v>
      </c>
      <c r="L178" s="7" t="s">
        <v>423</v>
      </c>
      <c r="M178" s="24"/>
      <c r="N178" s="25"/>
      <c r="O178" s="25"/>
      <c r="P178" s="25"/>
      <c r="Q178" s="25">
        <v>1</v>
      </c>
      <c r="R178" s="31">
        <f t="shared" si="13"/>
        <v>0.5</v>
      </c>
      <c r="S178" s="7" t="s">
        <v>168</v>
      </c>
      <c r="T178" s="7" t="s">
        <v>354</v>
      </c>
      <c r="U178" s="7" t="s">
        <v>593</v>
      </c>
      <c r="V178" s="24"/>
      <c r="W178" s="25"/>
      <c r="X178" s="25">
        <v>2</v>
      </c>
      <c r="Y178" s="25"/>
      <c r="Z178" s="25"/>
      <c r="AA178" s="49">
        <f t="shared" si="14"/>
        <v>2</v>
      </c>
      <c r="AG178" s="63">
        <f t="shared" si="15"/>
        <v>0</v>
      </c>
      <c r="AH178" s="59">
        <f t="shared" si="16"/>
        <v>0</v>
      </c>
      <c r="AI178" s="69">
        <f t="shared" si="17"/>
        <v>2</v>
      </c>
    </row>
    <row r="179" spans="1:35" s="11" customFormat="1" ht="27" customHeight="1" x14ac:dyDescent="0.2">
      <c r="A179" s="7" t="s">
        <v>169</v>
      </c>
      <c r="B179" s="7" t="s">
        <v>355</v>
      </c>
      <c r="C179" s="8" t="s">
        <v>760</v>
      </c>
      <c r="D179" s="24">
        <v>1</v>
      </c>
      <c r="E179" s="25"/>
      <c r="F179" s="25"/>
      <c r="G179" s="25"/>
      <c r="H179" s="25"/>
      <c r="I179" s="26">
        <f t="shared" si="12"/>
        <v>1</v>
      </c>
      <c r="J179" s="7" t="s">
        <v>169</v>
      </c>
      <c r="K179" s="7" t="s">
        <v>355</v>
      </c>
      <c r="L179" s="7" t="s">
        <v>424</v>
      </c>
      <c r="M179" s="24"/>
      <c r="N179" s="25"/>
      <c r="O179" s="25"/>
      <c r="P179" s="25"/>
      <c r="Q179" s="25">
        <v>1</v>
      </c>
      <c r="R179" s="31">
        <f t="shared" si="13"/>
        <v>0.5</v>
      </c>
      <c r="S179" s="7" t="s">
        <v>169</v>
      </c>
      <c r="T179" s="7" t="s">
        <v>355</v>
      </c>
      <c r="U179" s="7" t="s">
        <v>594</v>
      </c>
      <c r="V179" s="24"/>
      <c r="W179" s="25"/>
      <c r="X179" s="25"/>
      <c r="Y179" s="25"/>
      <c r="Z179" s="25"/>
      <c r="AA179" s="49">
        <f t="shared" si="14"/>
        <v>0</v>
      </c>
      <c r="AG179" s="63">
        <f t="shared" si="15"/>
        <v>0</v>
      </c>
      <c r="AH179" s="59">
        <f t="shared" si="16"/>
        <v>0</v>
      </c>
      <c r="AI179" s="69">
        <f t="shared" si="17"/>
        <v>0</v>
      </c>
    </row>
    <row r="180" spans="1:35" s="11" customFormat="1" ht="27" customHeight="1" x14ac:dyDescent="0.2">
      <c r="A180" s="7" t="s">
        <v>170</v>
      </c>
      <c r="B180" s="7" t="s">
        <v>356</v>
      </c>
      <c r="C180" s="8" t="s">
        <v>761</v>
      </c>
      <c r="D180" s="24"/>
      <c r="E180" s="25"/>
      <c r="F180" s="25"/>
      <c r="G180" s="25">
        <v>2</v>
      </c>
      <c r="H180" s="25"/>
      <c r="I180" s="26">
        <f t="shared" si="12"/>
        <v>2</v>
      </c>
      <c r="J180" s="7" t="s">
        <v>170</v>
      </c>
      <c r="K180" s="7" t="s">
        <v>356</v>
      </c>
      <c r="L180" s="7" t="s">
        <v>977</v>
      </c>
      <c r="M180" s="24">
        <v>2</v>
      </c>
      <c r="N180" s="25"/>
      <c r="O180" s="25"/>
      <c r="P180" s="25"/>
      <c r="Q180" s="25"/>
      <c r="R180" s="31">
        <f t="shared" si="13"/>
        <v>2</v>
      </c>
      <c r="S180" s="7" t="s">
        <v>170</v>
      </c>
      <c r="T180" s="7" t="s">
        <v>356</v>
      </c>
      <c r="U180" s="7" t="s">
        <v>595</v>
      </c>
      <c r="V180" s="24"/>
      <c r="W180" s="25"/>
      <c r="X180" s="25"/>
      <c r="Y180" s="25"/>
      <c r="Z180" s="25">
        <v>1</v>
      </c>
      <c r="AA180" s="49">
        <f t="shared" si="14"/>
        <v>0.5</v>
      </c>
      <c r="AG180" s="63">
        <f t="shared" si="15"/>
        <v>2</v>
      </c>
      <c r="AH180" s="59">
        <f t="shared" si="16"/>
        <v>0</v>
      </c>
      <c r="AI180" s="69">
        <f t="shared" si="17"/>
        <v>0</v>
      </c>
    </row>
    <row r="181" spans="1:35" s="11" customFormat="1" ht="27" customHeight="1" x14ac:dyDescent="0.2">
      <c r="A181" s="7" t="s">
        <v>171</v>
      </c>
      <c r="B181" s="7" t="s">
        <v>357</v>
      </c>
      <c r="C181" s="8" t="s">
        <v>762</v>
      </c>
      <c r="D181" s="24"/>
      <c r="E181" s="25"/>
      <c r="F181" s="25">
        <v>2</v>
      </c>
      <c r="G181" s="25"/>
      <c r="H181" s="25"/>
      <c r="I181" s="26">
        <f t="shared" si="12"/>
        <v>2</v>
      </c>
      <c r="J181" s="7" t="s">
        <v>171</v>
      </c>
      <c r="K181" s="7" t="s">
        <v>357</v>
      </c>
      <c r="L181" s="7" t="s">
        <v>978</v>
      </c>
      <c r="M181" s="24"/>
      <c r="N181" s="25"/>
      <c r="O181" s="25"/>
      <c r="P181" s="25"/>
      <c r="Q181" s="25"/>
      <c r="R181" s="31">
        <f t="shared" si="13"/>
        <v>0</v>
      </c>
      <c r="S181" s="7" t="s">
        <v>171</v>
      </c>
      <c r="T181" s="7" t="s">
        <v>357</v>
      </c>
      <c r="U181" s="7" t="s">
        <v>596</v>
      </c>
      <c r="V181" s="24"/>
      <c r="W181" s="25"/>
      <c r="X181" s="25"/>
      <c r="Y181" s="25">
        <v>2</v>
      </c>
      <c r="Z181" s="25"/>
      <c r="AA181" s="49">
        <f t="shared" si="14"/>
        <v>2</v>
      </c>
      <c r="AG181" s="63">
        <f t="shared" si="15"/>
        <v>2</v>
      </c>
      <c r="AH181" s="59">
        <f t="shared" si="16"/>
        <v>0</v>
      </c>
      <c r="AI181" s="69">
        <f t="shared" si="17"/>
        <v>2</v>
      </c>
    </row>
    <row r="182" spans="1:35" s="11" customFormat="1" ht="27" customHeight="1" x14ac:dyDescent="0.2">
      <c r="A182" s="7" t="s">
        <v>172</v>
      </c>
      <c r="B182" s="7" t="s">
        <v>358</v>
      </c>
      <c r="C182" s="9" t="s">
        <v>763</v>
      </c>
      <c r="D182" s="27">
        <v>1</v>
      </c>
      <c r="E182" s="25"/>
      <c r="F182" s="25"/>
      <c r="G182" s="25"/>
      <c r="H182" s="25"/>
      <c r="I182" s="26">
        <f t="shared" si="12"/>
        <v>1</v>
      </c>
      <c r="J182" s="7" t="s">
        <v>172</v>
      </c>
      <c r="K182" s="7" t="s">
        <v>358</v>
      </c>
      <c r="L182" s="7" t="s">
        <v>979</v>
      </c>
      <c r="M182" s="27">
        <v>1</v>
      </c>
      <c r="N182" s="25"/>
      <c r="O182" s="25"/>
      <c r="P182" s="25"/>
      <c r="Q182" s="25"/>
      <c r="R182" s="31">
        <f t="shared" si="13"/>
        <v>1</v>
      </c>
      <c r="S182" s="7" t="s">
        <v>172</v>
      </c>
      <c r="T182" s="7" t="s">
        <v>358</v>
      </c>
      <c r="U182" s="7" t="s">
        <v>597</v>
      </c>
      <c r="V182" s="27"/>
      <c r="W182" s="25"/>
      <c r="X182" s="25"/>
      <c r="Y182" s="25"/>
      <c r="Z182" s="25">
        <v>2</v>
      </c>
      <c r="AA182" s="49">
        <f t="shared" si="14"/>
        <v>1</v>
      </c>
      <c r="AG182" s="63">
        <f t="shared" si="15"/>
        <v>0</v>
      </c>
      <c r="AH182" s="59">
        <f t="shared" si="16"/>
        <v>0</v>
      </c>
      <c r="AI182" s="69">
        <f t="shared" si="17"/>
        <v>0</v>
      </c>
    </row>
    <row r="183" spans="1:35" s="11" customFormat="1" ht="27" customHeight="1" x14ac:dyDescent="0.2">
      <c r="A183" s="7" t="s">
        <v>173</v>
      </c>
      <c r="B183" s="7" t="s">
        <v>359</v>
      </c>
      <c r="C183" s="8" t="s">
        <v>764</v>
      </c>
      <c r="D183" s="24"/>
      <c r="E183" s="25"/>
      <c r="F183" s="25"/>
      <c r="G183" s="25">
        <v>2</v>
      </c>
      <c r="H183" s="25"/>
      <c r="I183" s="26">
        <f t="shared" si="12"/>
        <v>2</v>
      </c>
      <c r="J183" s="7" t="s">
        <v>173</v>
      </c>
      <c r="K183" s="7" t="s">
        <v>359</v>
      </c>
      <c r="L183" s="7" t="s">
        <v>425</v>
      </c>
      <c r="M183" s="24"/>
      <c r="N183" s="25"/>
      <c r="O183" s="25"/>
      <c r="P183" s="25"/>
      <c r="Q183" s="25">
        <v>2</v>
      </c>
      <c r="R183" s="31">
        <f t="shared" si="13"/>
        <v>1</v>
      </c>
      <c r="S183" s="7" t="s">
        <v>173</v>
      </c>
      <c r="T183" s="7" t="s">
        <v>359</v>
      </c>
      <c r="U183" s="7" t="s">
        <v>598</v>
      </c>
      <c r="V183" s="24"/>
      <c r="W183" s="25"/>
      <c r="X183" s="25"/>
      <c r="Y183" s="25">
        <v>2</v>
      </c>
      <c r="Z183" s="25"/>
      <c r="AA183" s="49">
        <f t="shared" si="14"/>
        <v>2</v>
      </c>
      <c r="AG183" s="63">
        <f t="shared" si="15"/>
        <v>2</v>
      </c>
      <c r="AH183" s="59">
        <f t="shared" si="16"/>
        <v>0</v>
      </c>
      <c r="AI183" s="69">
        <f t="shared" si="17"/>
        <v>2</v>
      </c>
    </row>
    <row r="184" spans="1:35" s="11" customFormat="1" ht="27" customHeight="1" x14ac:dyDescent="0.2">
      <c r="A184" s="7" t="s">
        <v>174</v>
      </c>
      <c r="B184" s="7" t="s">
        <v>360</v>
      </c>
      <c r="C184" s="8" t="s">
        <v>765</v>
      </c>
      <c r="D184" s="24"/>
      <c r="E184" s="25"/>
      <c r="F184" s="25"/>
      <c r="G184" s="25"/>
      <c r="H184" s="25"/>
      <c r="I184" s="26">
        <f t="shared" si="12"/>
        <v>0</v>
      </c>
      <c r="J184" s="7" t="s">
        <v>174</v>
      </c>
      <c r="K184" s="7" t="s">
        <v>360</v>
      </c>
      <c r="L184" s="7" t="s">
        <v>980</v>
      </c>
      <c r="M184" s="24"/>
      <c r="N184" s="25"/>
      <c r="O184" s="25">
        <v>1</v>
      </c>
      <c r="P184" s="25"/>
      <c r="Q184" s="25"/>
      <c r="R184" s="31">
        <f t="shared" si="13"/>
        <v>1</v>
      </c>
      <c r="S184" s="7" t="s">
        <v>174</v>
      </c>
      <c r="T184" s="7" t="s">
        <v>360</v>
      </c>
      <c r="U184" s="7" t="s">
        <v>599</v>
      </c>
      <c r="V184" s="24">
        <v>2</v>
      </c>
      <c r="W184" s="25"/>
      <c r="X184" s="25"/>
      <c r="Y184" s="25"/>
      <c r="Z184" s="25"/>
      <c r="AA184" s="49">
        <f t="shared" si="14"/>
        <v>2</v>
      </c>
      <c r="AG184" s="63">
        <f t="shared" si="15"/>
        <v>0</v>
      </c>
      <c r="AH184" s="59">
        <f t="shared" si="16"/>
        <v>1</v>
      </c>
      <c r="AI184" s="69">
        <f t="shared" si="17"/>
        <v>0</v>
      </c>
    </row>
    <row r="185" spans="1:35" s="11" customFormat="1" ht="27" customHeight="1" x14ac:dyDescent="0.2">
      <c r="A185" s="7" t="s">
        <v>175</v>
      </c>
      <c r="B185" s="7" t="s">
        <v>361</v>
      </c>
      <c r="C185" s="9" t="s">
        <v>766</v>
      </c>
      <c r="D185" s="27"/>
      <c r="E185" s="25"/>
      <c r="F185" s="25"/>
      <c r="G185" s="25"/>
      <c r="H185" s="25"/>
      <c r="I185" s="26">
        <f t="shared" si="12"/>
        <v>0</v>
      </c>
      <c r="J185" s="7" t="s">
        <v>175</v>
      </c>
      <c r="K185" s="7" t="s">
        <v>361</v>
      </c>
      <c r="L185" s="7" t="s">
        <v>426</v>
      </c>
      <c r="M185" s="27"/>
      <c r="N185" s="25"/>
      <c r="O185" s="25"/>
      <c r="P185" s="25">
        <v>2</v>
      </c>
      <c r="Q185" s="25"/>
      <c r="R185" s="31">
        <f t="shared" si="13"/>
        <v>2</v>
      </c>
      <c r="S185" s="7" t="s">
        <v>175</v>
      </c>
      <c r="T185" s="7" t="s">
        <v>361</v>
      </c>
      <c r="U185" s="7" t="s">
        <v>600</v>
      </c>
      <c r="V185" s="27"/>
      <c r="W185" s="25">
        <v>1</v>
      </c>
      <c r="X185" s="25"/>
      <c r="Y185" s="25"/>
      <c r="Z185" s="25"/>
      <c r="AA185" s="49">
        <f t="shared" si="14"/>
        <v>1</v>
      </c>
      <c r="AG185" s="63">
        <f t="shared" si="15"/>
        <v>0</v>
      </c>
      <c r="AH185" s="59">
        <f t="shared" si="16"/>
        <v>2</v>
      </c>
      <c r="AI185" s="69">
        <f t="shared" si="17"/>
        <v>1</v>
      </c>
    </row>
    <row r="186" spans="1:35" s="11" customFormat="1" ht="27" customHeight="1" x14ac:dyDescent="0.2">
      <c r="A186" s="7" t="s">
        <v>176</v>
      </c>
      <c r="B186" s="7" t="s">
        <v>362</v>
      </c>
      <c r="C186" s="8" t="s">
        <v>767</v>
      </c>
      <c r="D186" s="24"/>
      <c r="E186" s="25"/>
      <c r="F186" s="25"/>
      <c r="G186" s="25"/>
      <c r="H186" s="25"/>
      <c r="I186" s="26">
        <f t="shared" si="12"/>
        <v>0</v>
      </c>
      <c r="J186" s="7" t="s">
        <v>176</v>
      </c>
      <c r="K186" s="7" t="s">
        <v>362</v>
      </c>
      <c r="L186" s="7" t="s">
        <v>981</v>
      </c>
      <c r="M186" s="24"/>
      <c r="N186" s="25"/>
      <c r="O186" s="25"/>
      <c r="P186" s="25"/>
      <c r="Q186" s="25">
        <v>1</v>
      </c>
      <c r="R186" s="31">
        <f t="shared" si="13"/>
        <v>0.5</v>
      </c>
      <c r="S186" s="7" t="s">
        <v>176</v>
      </c>
      <c r="T186" s="7" t="s">
        <v>362</v>
      </c>
      <c r="U186" s="7" t="s">
        <v>601</v>
      </c>
      <c r="V186" s="24">
        <v>2</v>
      </c>
      <c r="W186" s="25"/>
      <c r="X186" s="25"/>
      <c r="Y186" s="25"/>
      <c r="Z186" s="25"/>
      <c r="AA186" s="49">
        <f t="shared" si="14"/>
        <v>2</v>
      </c>
      <c r="AG186" s="63">
        <f t="shared" si="15"/>
        <v>0</v>
      </c>
      <c r="AH186" s="59">
        <f t="shared" si="16"/>
        <v>0</v>
      </c>
      <c r="AI186" s="69">
        <f t="shared" si="17"/>
        <v>0</v>
      </c>
    </row>
    <row r="187" spans="1:35" s="11" customFormat="1" ht="27" customHeight="1" x14ac:dyDescent="0.2">
      <c r="A187" s="7" t="s">
        <v>177</v>
      </c>
      <c r="B187" s="7" t="s">
        <v>363</v>
      </c>
      <c r="C187" s="9" t="s">
        <v>768</v>
      </c>
      <c r="D187" s="27"/>
      <c r="E187" s="25"/>
      <c r="F187" s="25">
        <v>2</v>
      </c>
      <c r="G187" s="25"/>
      <c r="H187" s="25"/>
      <c r="I187" s="26">
        <f t="shared" si="12"/>
        <v>2</v>
      </c>
      <c r="J187" s="7" t="s">
        <v>177</v>
      </c>
      <c r="K187" s="7" t="s">
        <v>363</v>
      </c>
      <c r="L187" s="7" t="s">
        <v>982</v>
      </c>
      <c r="M187" s="27"/>
      <c r="N187" s="25"/>
      <c r="O187" s="25"/>
      <c r="P187" s="25">
        <v>2</v>
      </c>
      <c r="Q187" s="25"/>
      <c r="R187" s="31">
        <f t="shared" si="13"/>
        <v>2</v>
      </c>
      <c r="S187" s="7" t="s">
        <v>177</v>
      </c>
      <c r="T187" s="7" t="s">
        <v>363</v>
      </c>
      <c r="U187" s="7" t="s">
        <v>602</v>
      </c>
      <c r="V187" s="27"/>
      <c r="W187" s="25"/>
      <c r="X187" s="25">
        <v>2</v>
      </c>
      <c r="Y187" s="25"/>
      <c r="Z187" s="25"/>
      <c r="AA187" s="49">
        <f t="shared" si="14"/>
        <v>2</v>
      </c>
      <c r="AG187" s="63">
        <f t="shared" si="15"/>
        <v>2</v>
      </c>
      <c r="AH187" s="59">
        <f t="shared" si="16"/>
        <v>2</v>
      </c>
      <c r="AI187" s="69">
        <f t="shared" si="17"/>
        <v>2</v>
      </c>
    </row>
    <row r="188" spans="1:35" s="11" customFormat="1" ht="27" customHeight="1" x14ac:dyDescent="0.2">
      <c r="A188" s="7" t="s">
        <v>178</v>
      </c>
      <c r="B188" s="7" t="s">
        <v>364</v>
      </c>
      <c r="C188" s="8" t="s">
        <v>769</v>
      </c>
      <c r="D188" s="24"/>
      <c r="E188" s="25"/>
      <c r="F188" s="25"/>
      <c r="G188" s="25"/>
      <c r="H188" s="25"/>
      <c r="I188" s="26">
        <f t="shared" si="12"/>
        <v>0</v>
      </c>
      <c r="J188" s="7" t="s">
        <v>178</v>
      </c>
      <c r="K188" s="7" t="s">
        <v>364</v>
      </c>
      <c r="L188" s="7" t="s">
        <v>983</v>
      </c>
      <c r="M188" s="24"/>
      <c r="N188" s="25"/>
      <c r="O188" s="25"/>
      <c r="P188" s="25"/>
      <c r="Q188" s="25">
        <v>1</v>
      </c>
      <c r="R188" s="31">
        <f t="shared" si="13"/>
        <v>0.5</v>
      </c>
      <c r="S188" s="7" t="s">
        <v>178</v>
      </c>
      <c r="T188" s="7" t="s">
        <v>364</v>
      </c>
      <c r="U188" s="7" t="s">
        <v>603</v>
      </c>
      <c r="V188" s="24"/>
      <c r="W188" s="25"/>
      <c r="X188" s="25"/>
      <c r="Y188" s="25"/>
      <c r="Z188" s="25"/>
      <c r="AA188" s="49">
        <f t="shared" si="14"/>
        <v>0</v>
      </c>
      <c r="AG188" s="63">
        <f t="shared" si="15"/>
        <v>0</v>
      </c>
      <c r="AH188" s="59">
        <f t="shared" si="16"/>
        <v>0</v>
      </c>
      <c r="AI188" s="69">
        <f t="shared" si="17"/>
        <v>0</v>
      </c>
    </row>
    <row r="189" spans="1:35" s="11" customFormat="1" ht="27" customHeight="1" x14ac:dyDescent="0.2">
      <c r="A189" s="7" t="s">
        <v>179</v>
      </c>
      <c r="B189" s="7" t="s">
        <v>365</v>
      </c>
      <c r="C189" s="9" t="s">
        <v>770</v>
      </c>
      <c r="D189" s="27"/>
      <c r="E189" s="25"/>
      <c r="F189" s="25"/>
      <c r="G189" s="25"/>
      <c r="H189" s="25"/>
      <c r="I189" s="26">
        <f t="shared" si="12"/>
        <v>0</v>
      </c>
      <c r="J189" s="7" t="s">
        <v>179</v>
      </c>
      <c r="K189" s="7" t="s">
        <v>365</v>
      </c>
      <c r="L189" s="7" t="s">
        <v>427</v>
      </c>
      <c r="M189" s="27">
        <v>1</v>
      </c>
      <c r="N189" s="25"/>
      <c r="O189" s="25"/>
      <c r="P189" s="25"/>
      <c r="Q189" s="25"/>
      <c r="R189" s="31">
        <f t="shared" si="13"/>
        <v>1</v>
      </c>
      <c r="S189" s="7" t="s">
        <v>179</v>
      </c>
      <c r="T189" s="7" t="s">
        <v>365</v>
      </c>
      <c r="U189" s="7" t="s">
        <v>604</v>
      </c>
      <c r="V189" s="27"/>
      <c r="W189" s="25"/>
      <c r="X189" s="25"/>
      <c r="Y189" s="25"/>
      <c r="Z189" s="25"/>
      <c r="AA189" s="49">
        <f t="shared" si="14"/>
        <v>0</v>
      </c>
      <c r="AG189" s="63">
        <f t="shared" si="15"/>
        <v>0</v>
      </c>
      <c r="AH189" s="59">
        <f t="shared" si="16"/>
        <v>0</v>
      </c>
      <c r="AI189" s="69">
        <f t="shared" si="17"/>
        <v>0</v>
      </c>
    </row>
    <row r="190" spans="1:35" s="11" customFormat="1" ht="27" customHeight="1" x14ac:dyDescent="0.2">
      <c r="A190" s="7" t="s">
        <v>180</v>
      </c>
      <c r="B190" s="7" t="s">
        <v>366</v>
      </c>
      <c r="C190" s="8" t="s">
        <v>771</v>
      </c>
      <c r="D190" s="24"/>
      <c r="E190" s="25"/>
      <c r="F190" s="25"/>
      <c r="G190" s="25"/>
      <c r="H190" s="25"/>
      <c r="I190" s="26">
        <f t="shared" si="12"/>
        <v>0</v>
      </c>
      <c r="J190" s="7" t="s">
        <v>180</v>
      </c>
      <c r="K190" s="7" t="s">
        <v>366</v>
      </c>
      <c r="L190" s="7" t="s">
        <v>984</v>
      </c>
      <c r="M190" s="24"/>
      <c r="N190" s="25"/>
      <c r="O190" s="25"/>
      <c r="P190" s="25"/>
      <c r="Q190" s="25">
        <v>1</v>
      </c>
      <c r="R190" s="31">
        <f t="shared" si="13"/>
        <v>0.5</v>
      </c>
      <c r="S190" s="7" t="s">
        <v>180</v>
      </c>
      <c r="T190" s="7" t="s">
        <v>366</v>
      </c>
      <c r="U190" s="7" t="s">
        <v>605</v>
      </c>
      <c r="V190" s="24"/>
      <c r="W190" s="25"/>
      <c r="X190" s="25"/>
      <c r="Y190" s="25">
        <v>2</v>
      </c>
      <c r="Z190" s="25"/>
      <c r="AA190" s="49">
        <f t="shared" si="14"/>
        <v>2</v>
      </c>
      <c r="AG190" s="63">
        <f t="shared" si="15"/>
        <v>0</v>
      </c>
      <c r="AH190" s="59">
        <f t="shared" si="16"/>
        <v>0</v>
      </c>
      <c r="AI190" s="69">
        <f t="shared" si="17"/>
        <v>2</v>
      </c>
    </row>
    <row r="191" spans="1:35" s="11" customFormat="1" ht="27" customHeight="1" x14ac:dyDescent="0.2">
      <c r="A191" s="7" t="s">
        <v>181</v>
      </c>
      <c r="B191" s="7" t="s">
        <v>367</v>
      </c>
      <c r="C191" s="8" t="s">
        <v>772</v>
      </c>
      <c r="D191" s="24"/>
      <c r="E191" s="25"/>
      <c r="F191" s="25">
        <v>2</v>
      </c>
      <c r="G191" s="25"/>
      <c r="H191" s="25"/>
      <c r="I191" s="26">
        <f t="shared" si="12"/>
        <v>2</v>
      </c>
      <c r="J191" s="7" t="s">
        <v>181</v>
      </c>
      <c r="K191" s="7" t="s">
        <v>367</v>
      </c>
      <c r="L191" s="7" t="s">
        <v>985</v>
      </c>
      <c r="M191" s="24"/>
      <c r="N191" s="25"/>
      <c r="O191" s="25">
        <v>2</v>
      </c>
      <c r="P191" s="25"/>
      <c r="Q191" s="25"/>
      <c r="R191" s="31">
        <f t="shared" si="13"/>
        <v>2</v>
      </c>
      <c r="S191" s="7" t="s">
        <v>181</v>
      </c>
      <c r="T191" s="7" t="s">
        <v>367</v>
      </c>
      <c r="U191" s="7" t="s">
        <v>606</v>
      </c>
      <c r="V191" s="24"/>
      <c r="W191" s="25"/>
      <c r="X191" s="25">
        <v>2</v>
      </c>
      <c r="Y191" s="25"/>
      <c r="Z191" s="25"/>
      <c r="AA191" s="49">
        <f t="shared" si="14"/>
        <v>2</v>
      </c>
      <c r="AG191" s="63">
        <f t="shared" si="15"/>
        <v>2</v>
      </c>
      <c r="AH191" s="59">
        <f t="shared" si="16"/>
        <v>2</v>
      </c>
      <c r="AI191" s="69">
        <f t="shared" si="17"/>
        <v>2</v>
      </c>
    </row>
    <row r="192" spans="1:35" s="11" customFormat="1" ht="27" customHeight="1" x14ac:dyDescent="0.2">
      <c r="A192" s="7" t="s">
        <v>182</v>
      </c>
      <c r="B192" s="7" t="s">
        <v>368</v>
      </c>
      <c r="C192" s="8" t="s">
        <v>773</v>
      </c>
      <c r="D192" s="24"/>
      <c r="E192" s="25"/>
      <c r="F192" s="25"/>
      <c r="G192" s="25"/>
      <c r="H192" s="25"/>
      <c r="I192" s="26">
        <f t="shared" si="12"/>
        <v>0</v>
      </c>
      <c r="J192" s="7" t="s">
        <v>182</v>
      </c>
      <c r="K192" s="7" t="s">
        <v>368</v>
      </c>
      <c r="L192" s="7" t="s">
        <v>986</v>
      </c>
      <c r="M192" s="24"/>
      <c r="N192" s="25"/>
      <c r="O192" s="25"/>
      <c r="P192" s="25"/>
      <c r="Q192" s="25">
        <v>1</v>
      </c>
      <c r="R192" s="31">
        <f t="shared" si="13"/>
        <v>0.5</v>
      </c>
      <c r="S192" s="7" t="s">
        <v>182</v>
      </c>
      <c r="T192" s="7" t="s">
        <v>368</v>
      </c>
      <c r="U192" s="7" t="s">
        <v>607</v>
      </c>
      <c r="V192" s="24"/>
      <c r="W192" s="25"/>
      <c r="X192" s="25"/>
      <c r="Y192" s="25"/>
      <c r="Z192" s="25">
        <v>2</v>
      </c>
      <c r="AA192" s="49">
        <f t="shared" si="14"/>
        <v>1</v>
      </c>
      <c r="AG192" s="63">
        <f t="shared" si="15"/>
        <v>0</v>
      </c>
      <c r="AH192" s="59">
        <f t="shared" si="16"/>
        <v>0</v>
      </c>
      <c r="AI192" s="69">
        <f t="shared" si="17"/>
        <v>0</v>
      </c>
    </row>
    <row r="193" spans="1:42" s="12" customFormat="1" ht="27" customHeight="1" x14ac:dyDescent="0.2">
      <c r="A193" s="7" t="s">
        <v>804</v>
      </c>
      <c r="B193" s="7" t="s">
        <v>805</v>
      </c>
      <c r="C193" s="8" t="s">
        <v>1023</v>
      </c>
      <c r="D193" s="24"/>
      <c r="E193" s="25"/>
      <c r="F193" s="25"/>
      <c r="G193" s="25"/>
      <c r="H193" s="25"/>
      <c r="I193" s="26">
        <f t="shared" si="12"/>
        <v>0</v>
      </c>
      <c r="J193" s="7" t="s">
        <v>804</v>
      </c>
      <c r="K193" s="7" t="s">
        <v>805</v>
      </c>
      <c r="L193" s="7" t="s">
        <v>987</v>
      </c>
      <c r="M193" s="24"/>
      <c r="N193" s="25"/>
      <c r="O193" s="25"/>
      <c r="P193" s="25"/>
      <c r="Q193" s="25">
        <v>1</v>
      </c>
      <c r="R193" s="31">
        <f t="shared" si="13"/>
        <v>0.5</v>
      </c>
      <c r="S193" s="7" t="s">
        <v>804</v>
      </c>
      <c r="T193" s="7" t="s">
        <v>805</v>
      </c>
      <c r="U193" s="7" t="s">
        <v>843</v>
      </c>
      <c r="V193" s="24"/>
      <c r="W193" s="25"/>
      <c r="X193" s="25"/>
      <c r="Y193" s="25">
        <v>2</v>
      </c>
      <c r="Z193" s="25"/>
      <c r="AA193" s="49">
        <f t="shared" si="14"/>
        <v>2</v>
      </c>
      <c r="AB193" s="11"/>
      <c r="AC193" s="11"/>
      <c r="AD193" s="11"/>
      <c r="AE193" s="11"/>
      <c r="AF193" s="11"/>
      <c r="AG193" s="63">
        <f t="shared" si="15"/>
        <v>0</v>
      </c>
      <c r="AH193" s="59">
        <f t="shared" si="16"/>
        <v>0</v>
      </c>
      <c r="AI193" s="69">
        <f t="shared" si="17"/>
        <v>2</v>
      </c>
      <c r="AJ193" s="11"/>
      <c r="AK193" s="11"/>
      <c r="AL193" s="11"/>
      <c r="AM193" s="11"/>
      <c r="AN193" s="11"/>
      <c r="AO193" s="11"/>
      <c r="AP193" s="11"/>
    </row>
    <row r="194" spans="1:42" s="11" customFormat="1" ht="27" customHeight="1" x14ac:dyDescent="0.2">
      <c r="A194" s="7" t="s">
        <v>183</v>
      </c>
      <c r="B194" s="7" t="s">
        <v>369</v>
      </c>
      <c r="C194" s="8" t="s">
        <v>1024</v>
      </c>
      <c r="D194" s="24">
        <v>1</v>
      </c>
      <c r="E194" s="25"/>
      <c r="F194" s="25"/>
      <c r="G194" s="25"/>
      <c r="H194" s="25"/>
      <c r="I194" s="26">
        <f t="shared" si="12"/>
        <v>1</v>
      </c>
      <c r="J194" s="7" t="s">
        <v>183</v>
      </c>
      <c r="K194" s="7" t="s">
        <v>369</v>
      </c>
      <c r="L194" s="7" t="s">
        <v>988</v>
      </c>
      <c r="M194" s="24"/>
      <c r="N194" s="25"/>
      <c r="O194" s="25"/>
      <c r="P194" s="25">
        <v>1</v>
      </c>
      <c r="Q194" s="25"/>
      <c r="R194" s="31">
        <f t="shared" si="13"/>
        <v>1</v>
      </c>
      <c r="S194" s="7" t="s">
        <v>183</v>
      </c>
      <c r="T194" s="7" t="s">
        <v>369</v>
      </c>
      <c r="U194" s="7" t="s">
        <v>608</v>
      </c>
      <c r="V194" s="24"/>
      <c r="W194" s="25"/>
      <c r="X194" s="25"/>
      <c r="Y194" s="25">
        <v>1</v>
      </c>
      <c r="Z194" s="25"/>
      <c r="AA194" s="49">
        <f t="shared" si="14"/>
        <v>1</v>
      </c>
      <c r="AG194" s="63">
        <f t="shared" si="15"/>
        <v>0</v>
      </c>
      <c r="AH194" s="59">
        <f t="shared" si="16"/>
        <v>1</v>
      </c>
      <c r="AI194" s="69">
        <f t="shared" si="17"/>
        <v>1</v>
      </c>
    </row>
    <row r="195" spans="1:42" s="11" customFormat="1" ht="27" customHeight="1" x14ac:dyDescent="0.2">
      <c r="A195" s="7" t="s">
        <v>184</v>
      </c>
      <c r="B195" s="7" t="s">
        <v>370</v>
      </c>
      <c r="C195" s="8" t="s">
        <v>774</v>
      </c>
      <c r="D195" s="24">
        <v>2</v>
      </c>
      <c r="E195" s="25"/>
      <c r="F195" s="25"/>
      <c r="G195" s="25"/>
      <c r="H195" s="25"/>
      <c r="I195" s="26">
        <f t="shared" ref="I195:I206" si="18">SUM(D195:G195)+(H195/2)</f>
        <v>2</v>
      </c>
      <c r="J195" s="7" t="s">
        <v>184</v>
      </c>
      <c r="K195" s="7" t="s">
        <v>370</v>
      </c>
      <c r="L195" s="7" t="s">
        <v>989</v>
      </c>
      <c r="M195" s="24"/>
      <c r="N195" s="25"/>
      <c r="O195" s="25"/>
      <c r="P195" s="25"/>
      <c r="Q195" s="25">
        <v>1</v>
      </c>
      <c r="R195" s="31">
        <f t="shared" ref="R195:R206" si="19">SUM(M195:P195)+(Q195/2)</f>
        <v>0.5</v>
      </c>
      <c r="S195" s="7" t="s">
        <v>184</v>
      </c>
      <c r="T195" s="7" t="s">
        <v>370</v>
      </c>
      <c r="U195" s="7" t="s">
        <v>609</v>
      </c>
      <c r="V195" s="24"/>
      <c r="W195" s="25"/>
      <c r="X195" s="25"/>
      <c r="Y195" s="25"/>
      <c r="Z195" s="25"/>
      <c r="AA195" s="49">
        <f t="shared" ref="AA195:AA206" si="20">SUM(V195:Y195)+(Z195/2)</f>
        <v>0</v>
      </c>
      <c r="AG195" s="63">
        <f t="shared" ref="AG195:AG206" si="21">SUM(E195:G195)</f>
        <v>0</v>
      </c>
      <c r="AH195" s="59">
        <f t="shared" ref="AH195:AH206" si="22">SUM(N195:P195)</f>
        <v>0</v>
      </c>
      <c r="AI195" s="69">
        <f t="shared" ref="AI195:AI206" si="23">SUM(W195:Y195)</f>
        <v>0</v>
      </c>
    </row>
    <row r="196" spans="1:42" s="11" customFormat="1" ht="27" customHeight="1" x14ac:dyDescent="0.2">
      <c r="A196" s="7" t="s">
        <v>185</v>
      </c>
      <c r="B196" s="7" t="s">
        <v>371</v>
      </c>
      <c r="C196" s="8" t="s">
        <v>775</v>
      </c>
      <c r="D196" s="24"/>
      <c r="E196" s="25"/>
      <c r="F196" s="25"/>
      <c r="G196" s="25"/>
      <c r="H196" s="25"/>
      <c r="I196" s="26">
        <f t="shared" si="18"/>
        <v>0</v>
      </c>
      <c r="J196" s="7" t="s">
        <v>185</v>
      </c>
      <c r="K196" s="7" t="s">
        <v>371</v>
      </c>
      <c r="L196" s="7" t="s">
        <v>990</v>
      </c>
      <c r="M196" s="24"/>
      <c r="N196" s="25"/>
      <c r="O196" s="25">
        <v>1</v>
      </c>
      <c r="P196" s="25"/>
      <c r="Q196" s="25"/>
      <c r="R196" s="31">
        <f t="shared" si="19"/>
        <v>1</v>
      </c>
      <c r="S196" s="7" t="s">
        <v>185</v>
      </c>
      <c r="T196" s="7" t="s">
        <v>371</v>
      </c>
      <c r="U196" s="7" t="s">
        <v>610</v>
      </c>
      <c r="V196" s="24"/>
      <c r="W196" s="25"/>
      <c r="X196" s="25"/>
      <c r="Y196" s="25"/>
      <c r="Z196" s="25"/>
      <c r="AA196" s="49">
        <f t="shared" si="20"/>
        <v>0</v>
      </c>
      <c r="AG196" s="63">
        <f t="shared" si="21"/>
        <v>0</v>
      </c>
      <c r="AH196" s="59">
        <f t="shared" si="22"/>
        <v>1</v>
      </c>
      <c r="AI196" s="69">
        <f t="shared" si="23"/>
        <v>0</v>
      </c>
    </row>
    <row r="197" spans="1:42" s="11" customFormat="1" ht="27" customHeight="1" x14ac:dyDescent="0.2">
      <c r="A197" s="7" t="s">
        <v>186</v>
      </c>
      <c r="B197" s="7" t="s">
        <v>372</v>
      </c>
      <c r="C197" s="8" t="s">
        <v>776</v>
      </c>
      <c r="D197" s="24"/>
      <c r="E197" s="25"/>
      <c r="F197" s="25"/>
      <c r="G197" s="25"/>
      <c r="H197" s="25"/>
      <c r="I197" s="26">
        <f t="shared" si="18"/>
        <v>0</v>
      </c>
      <c r="J197" s="7" t="s">
        <v>186</v>
      </c>
      <c r="K197" s="7" t="s">
        <v>372</v>
      </c>
      <c r="L197" s="7" t="s">
        <v>991</v>
      </c>
      <c r="M197" s="24"/>
      <c r="N197" s="25"/>
      <c r="O197" s="25"/>
      <c r="P197" s="25">
        <v>2</v>
      </c>
      <c r="Q197" s="25"/>
      <c r="R197" s="31">
        <f t="shared" si="19"/>
        <v>2</v>
      </c>
      <c r="S197" s="7" t="s">
        <v>186</v>
      </c>
      <c r="T197" s="7" t="s">
        <v>372</v>
      </c>
      <c r="U197" s="7" t="s">
        <v>611</v>
      </c>
      <c r="V197" s="24"/>
      <c r="W197" s="25"/>
      <c r="X197" s="25">
        <v>2</v>
      </c>
      <c r="Y197" s="25"/>
      <c r="Z197" s="25"/>
      <c r="AA197" s="49">
        <f t="shared" si="20"/>
        <v>2</v>
      </c>
      <c r="AG197" s="63">
        <f t="shared" si="21"/>
        <v>0</v>
      </c>
      <c r="AH197" s="59">
        <f t="shared" si="22"/>
        <v>2</v>
      </c>
      <c r="AI197" s="69">
        <f t="shared" si="23"/>
        <v>2</v>
      </c>
    </row>
    <row r="198" spans="1:42" s="11" customFormat="1" ht="27" customHeight="1" x14ac:dyDescent="0.2">
      <c r="A198" s="7" t="s">
        <v>187</v>
      </c>
      <c r="B198" s="7" t="s">
        <v>373</v>
      </c>
      <c r="C198" s="8" t="s">
        <v>777</v>
      </c>
      <c r="D198" s="24"/>
      <c r="E198" s="25"/>
      <c r="F198" s="25"/>
      <c r="G198" s="25"/>
      <c r="H198" s="25"/>
      <c r="I198" s="26">
        <f t="shared" si="18"/>
        <v>0</v>
      </c>
      <c r="J198" s="7" t="s">
        <v>187</v>
      </c>
      <c r="K198" s="7" t="s">
        <v>373</v>
      </c>
      <c r="L198" s="7" t="s">
        <v>428</v>
      </c>
      <c r="M198" s="24"/>
      <c r="N198" s="25"/>
      <c r="O198" s="25"/>
      <c r="P198" s="25"/>
      <c r="Q198" s="25">
        <v>1</v>
      </c>
      <c r="R198" s="31">
        <f t="shared" si="19"/>
        <v>0.5</v>
      </c>
      <c r="S198" s="7" t="s">
        <v>187</v>
      </c>
      <c r="T198" s="7" t="s">
        <v>373</v>
      </c>
      <c r="U198" s="7" t="s">
        <v>612</v>
      </c>
      <c r="V198" s="24"/>
      <c r="W198" s="25"/>
      <c r="X198" s="25"/>
      <c r="Y198" s="25"/>
      <c r="Z198" s="25"/>
      <c r="AA198" s="49">
        <f t="shared" si="20"/>
        <v>0</v>
      </c>
      <c r="AG198" s="63">
        <f t="shared" si="21"/>
        <v>0</v>
      </c>
      <c r="AH198" s="59">
        <f t="shared" si="22"/>
        <v>0</v>
      </c>
      <c r="AI198" s="69">
        <f t="shared" si="23"/>
        <v>0</v>
      </c>
    </row>
    <row r="199" spans="1:42" s="11" customFormat="1" ht="27" customHeight="1" x14ac:dyDescent="0.2">
      <c r="A199" s="7" t="s">
        <v>188</v>
      </c>
      <c r="B199" s="7" t="s">
        <v>374</v>
      </c>
      <c r="C199" s="8" t="s">
        <v>778</v>
      </c>
      <c r="D199" s="24"/>
      <c r="E199" s="25"/>
      <c r="F199" s="25"/>
      <c r="G199" s="25"/>
      <c r="H199" s="25"/>
      <c r="I199" s="26">
        <f t="shared" si="18"/>
        <v>0</v>
      </c>
      <c r="J199" s="7" t="s">
        <v>188</v>
      </c>
      <c r="K199" s="7" t="s">
        <v>374</v>
      </c>
      <c r="L199" s="7" t="s">
        <v>992</v>
      </c>
      <c r="M199" s="24"/>
      <c r="N199" s="25"/>
      <c r="O199" s="25"/>
      <c r="P199" s="25">
        <v>2</v>
      </c>
      <c r="Q199" s="25"/>
      <c r="R199" s="31">
        <f t="shared" si="19"/>
        <v>2</v>
      </c>
      <c r="S199" s="7" t="s">
        <v>188</v>
      </c>
      <c r="T199" s="7" t="s">
        <v>374</v>
      </c>
      <c r="U199" s="7" t="s">
        <v>613</v>
      </c>
      <c r="V199" s="24"/>
      <c r="W199" s="25"/>
      <c r="X199" s="25"/>
      <c r="Y199" s="25">
        <v>2</v>
      </c>
      <c r="Z199" s="25"/>
      <c r="AA199" s="49">
        <f t="shared" si="20"/>
        <v>2</v>
      </c>
      <c r="AG199" s="63">
        <f t="shared" si="21"/>
        <v>0</v>
      </c>
      <c r="AH199" s="59">
        <f t="shared" si="22"/>
        <v>2</v>
      </c>
      <c r="AI199" s="69">
        <f t="shared" si="23"/>
        <v>2</v>
      </c>
    </row>
    <row r="200" spans="1:42" s="11" customFormat="1" ht="27" customHeight="1" x14ac:dyDescent="0.2">
      <c r="A200" s="7" t="s">
        <v>189</v>
      </c>
      <c r="B200" s="7" t="s">
        <v>375</v>
      </c>
      <c r="C200" s="8" t="s">
        <v>779</v>
      </c>
      <c r="D200" s="24"/>
      <c r="E200" s="25"/>
      <c r="F200" s="25"/>
      <c r="G200" s="25"/>
      <c r="H200" s="25"/>
      <c r="I200" s="26">
        <f t="shared" si="18"/>
        <v>0</v>
      </c>
      <c r="J200" s="7" t="s">
        <v>189</v>
      </c>
      <c r="K200" s="7" t="s">
        <v>375</v>
      </c>
      <c r="L200" s="7" t="s">
        <v>993</v>
      </c>
      <c r="M200" s="24"/>
      <c r="N200" s="25"/>
      <c r="O200" s="25"/>
      <c r="P200" s="25"/>
      <c r="Q200" s="25"/>
      <c r="R200" s="31">
        <f t="shared" si="19"/>
        <v>0</v>
      </c>
      <c r="S200" s="7" t="s">
        <v>189</v>
      </c>
      <c r="T200" s="7" t="s">
        <v>375</v>
      </c>
      <c r="U200" s="7" t="s">
        <v>614</v>
      </c>
      <c r="V200" s="24"/>
      <c r="W200" s="25"/>
      <c r="X200" s="25"/>
      <c r="Y200" s="25"/>
      <c r="Z200" s="25"/>
      <c r="AA200" s="49">
        <f t="shared" si="20"/>
        <v>0</v>
      </c>
      <c r="AG200" s="63">
        <f t="shared" si="21"/>
        <v>0</v>
      </c>
      <c r="AH200" s="59">
        <f t="shared" si="22"/>
        <v>0</v>
      </c>
      <c r="AI200" s="69">
        <f t="shared" si="23"/>
        <v>0</v>
      </c>
    </row>
    <row r="201" spans="1:42" s="11" customFormat="1" ht="27" customHeight="1" x14ac:dyDescent="0.2">
      <c r="A201" s="7" t="s">
        <v>806</v>
      </c>
      <c r="B201" s="7" t="s">
        <v>807</v>
      </c>
      <c r="C201" s="8" t="s">
        <v>1025</v>
      </c>
      <c r="D201" s="24"/>
      <c r="E201" s="25"/>
      <c r="F201" s="25"/>
      <c r="G201" s="25"/>
      <c r="H201" s="25"/>
      <c r="I201" s="26">
        <f t="shared" si="18"/>
        <v>0</v>
      </c>
      <c r="J201" s="7" t="s">
        <v>806</v>
      </c>
      <c r="K201" s="7" t="s">
        <v>807</v>
      </c>
      <c r="L201" s="7" t="s">
        <v>994</v>
      </c>
      <c r="M201" s="24"/>
      <c r="N201" s="25"/>
      <c r="O201" s="25"/>
      <c r="P201" s="25"/>
      <c r="Q201" s="25"/>
      <c r="R201" s="31">
        <f t="shared" si="19"/>
        <v>0</v>
      </c>
      <c r="S201" s="7" t="s">
        <v>806</v>
      </c>
      <c r="T201" s="7" t="s">
        <v>807</v>
      </c>
      <c r="U201" s="7" t="s">
        <v>844</v>
      </c>
      <c r="V201" s="24"/>
      <c r="W201" s="25"/>
      <c r="X201" s="25"/>
      <c r="Y201" s="25"/>
      <c r="Z201" s="25"/>
      <c r="AA201" s="49">
        <f t="shared" si="20"/>
        <v>0</v>
      </c>
      <c r="AG201" s="63">
        <f t="shared" si="21"/>
        <v>0</v>
      </c>
      <c r="AH201" s="59">
        <f t="shared" si="22"/>
        <v>0</v>
      </c>
      <c r="AI201" s="69">
        <f t="shared" si="23"/>
        <v>0</v>
      </c>
    </row>
    <row r="202" spans="1:42" s="11" customFormat="1" ht="27" customHeight="1" x14ac:dyDescent="0.2">
      <c r="A202" s="7" t="s">
        <v>808</v>
      </c>
      <c r="B202" s="7" t="s">
        <v>809</v>
      </c>
      <c r="C202" s="8" t="s">
        <v>1026</v>
      </c>
      <c r="D202" s="24"/>
      <c r="E202" s="25"/>
      <c r="F202" s="25"/>
      <c r="G202" s="25"/>
      <c r="H202" s="25"/>
      <c r="I202" s="26">
        <f t="shared" si="18"/>
        <v>0</v>
      </c>
      <c r="J202" s="7" t="s">
        <v>808</v>
      </c>
      <c r="K202" s="7" t="s">
        <v>809</v>
      </c>
      <c r="L202" s="7" t="s">
        <v>995</v>
      </c>
      <c r="M202" s="24"/>
      <c r="N202" s="25"/>
      <c r="O202" s="25"/>
      <c r="P202" s="25"/>
      <c r="Q202" s="25">
        <v>2</v>
      </c>
      <c r="R202" s="31">
        <f t="shared" si="19"/>
        <v>1</v>
      </c>
      <c r="S202" s="7" t="s">
        <v>808</v>
      </c>
      <c r="T202" s="7" t="s">
        <v>809</v>
      </c>
      <c r="U202" s="7" t="s">
        <v>845</v>
      </c>
      <c r="V202" s="24"/>
      <c r="W202" s="25"/>
      <c r="X202" s="25">
        <v>2</v>
      </c>
      <c r="Y202" s="25"/>
      <c r="Z202" s="25"/>
      <c r="AA202" s="49">
        <f t="shared" si="20"/>
        <v>2</v>
      </c>
      <c r="AG202" s="63">
        <f t="shared" si="21"/>
        <v>0</v>
      </c>
      <c r="AH202" s="59">
        <f t="shared" si="22"/>
        <v>0</v>
      </c>
      <c r="AI202" s="69">
        <f t="shared" si="23"/>
        <v>2</v>
      </c>
    </row>
    <row r="203" spans="1:42" s="11" customFormat="1" ht="27" customHeight="1" x14ac:dyDescent="0.2">
      <c r="A203" s="7" t="s">
        <v>810</v>
      </c>
      <c r="B203" s="7" t="s">
        <v>811</v>
      </c>
      <c r="C203" s="8" t="s">
        <v>829</v>
      </c>
      <c r="D203" s="24"/>
      <c r="E203" s="25"/>
      <c r="F203" s="25">
        <v>1</v>
      </c>
      <c r="G203" s="25"/>
      <c r="H203" s="25"/>
      <c r="I203" s="26">
        <f t="shared" si="18"/>
        <v>1</v>
      </c>
      <c r="J203" s="7" t="s">
        <v>810</v>
      </c>
      <c r="K203" s="7" t="s">
        <v>811</v>
      </c>
      <c r="L203" s="7" t="s">
        <v>996</v>
      </c>
      <c r="M203" s="24"/>
      <c r="N203" s="25"/>
      <c r="O203" s="25"/>
      <c r="P203" s="25"/>
      <c r="Q203" s="25"/>
      <c r="R203" s="31">
        <f t="shared" si="19"/>
        <v>0</v>
      </c>
      <c r="S203" s="7" t="s">
        <v>810</v>
      </c>
      <c r="T203" s="7" t="s">
        <v>811</v>
      </c>
      <c r="U203" s="7" t="s">
        <v>846</v>
      </c>
      <c r="V203" s="24"/>
      <c r="W203" s="25"/>
      <c r="X203" s="25"/>
      <c r="Y203" s="25"/>
      <c r="Z203" s="25"/>
      <c r="AA203" s="49">
        <f t="shared" si="20"/>
        <v>0</v>
      </c>
      <c r="AG203" s="63">
        <f t="shared" si="21"/>
        <v>1</v>
      </c>
      <c r="AH203" s="59">
        <f t="shared" si="22"/>
        <v>0</v>
      </c>
      <c r="AI203" s="69">
        <f t="shared" si="23"/>
        <v>0</v>
      </c>
    </row>
    <row r="204" spans="1:42" s="11" customFormat="1" ht="27" customHeight="1" x14ac:dyDescent="0.2">
      <c r="A204" s="7" t="s">
        <v>812</v>
      </c>
      <c r="B204" s="7" t="s">
        <v>813</v>
      </c>
      <c r="C204" s="8" t="s">
        <v>1027</v>
      </c>
      <c r="D204" s="24">
        <v>1</v>
      </c>
      <c r="E204" s="25"/>
      <c r="F204" s="25"/>
      <c r="G204" s="25"/>
      <c r="H204" s="25"/>
      <c r="I204" s="26">
        <f t="shared" si="18"/>
        <v>1</v>
      </c>
      <c r="J204" s="7" t="s">
        <v>812</v>
      </c>
      <c r="K204" s="7" t="s">
        <v>813</v>
      </c>
      <c r="L204" s="7" t="s">
        <v>997</v>
      </c>
      <c r="M204" s="24"/>
      <c r="N204" s="25"/>
      <c r="O204" s="25">
        <v>2</v>
      </c>
      <c r="P204" s="25"/>
      <c r="Q204" s="25"/>
      <c r="R204" s="31">
        <f t="shared" si="19"/>
        <v>2</v>
      </c>
      <c r="S204" s="7" t="s">
        <v>812</v>
      </c>
      <c r="T204" s="7" t="s">
        <v>813</v>
      </c>
      <c r="U204" s="7" t="s">
        <v>847</v>
      </c>
      <c r="V204" s="24"/>
      <c r="W204" s="25"/>
      <c r="X204" s="25">
        <v>2</v>
      </c>
      <c r="Y204" s="25"/>
      <c r="Z204" s="25"/>
      <c r="AA204" s="49">
        <f t="shared" si="20"/>
        <v>2</v>
      </c>
      <c r="AG204" s="63">
        <f t="shared" si="21"/>
        <v>0</v>
      </c>
      <c r="AH204" s="59">
        <f t="shared" si="22"/>
        <v>2</v>
      </c>
      <c r="AI204" s="69">
        <f t="shared" si="23"/>
        <v>2</v>
      </c>
    </row>
    <row r="205" spans="1:42" s="11" customFormat="1" ht="27" customHeight="1" x14ac:dyDescent="0.2">
      <c r="A205" s="7" t="s">
        <v>814</v>
      </c>
      <c r="B205" s="7" t="s">
        <v>815</v>
      </c>
      <c r="C205" s="8" t="s">
        <v>830</v>
      </c>
      <c r="D205" s="24"/>
      <c r="E205" s="25">
        <v>1</v>
      </c>
      <c r="F205" s="25"/>
      <c r="G205" s="25"/>
      <c r="H205" s="25"/>
      <c r="I205" s="26">
        <f t="shared" si="18"/>
        <v>1</v>
      </c>
      <c r="J205" s="7" t="s">
        <v>814</v>
      </c>
      <c r="K205" s="7" t="s">
        <v>815</v>
      </c>
      <c r="L205" s="7" t="s">
        <v>998</v>
      </c>
      <c r="M205" s="24"/>
      <c r="N205" s="25"/>
      <c r="O205" s="25"/>
      <c r="P205" s="25">
        <v>2</v>
      </c>
      <c r="Q205" s="25"/>
      <c r="R205" s="31">
        <f t="shared" si="19"/>
        <v>2</v>
      </c>
      <c r="S205" s="7" t="s">
        <v>814</v>
      </c>
      <c r="T205" s="7" t="s">
        <v>815</v>
      </c>
      <c r="U205" s="7" t="s">
        <v>848</v>
      </c>
      <c r="V205" s="24"/>
      <c r="W205" s="25"/>
      <c r="X205" s="25"/>
      <c r="Y205" s="25"/>
      <c r="Z205" s="25">
        <v>1</v>
      </c>
      <c r="AA205" s="49">
        <f t="shared" si="20"/>
        <v>0.5</v>
      </c>
      <c r="AG205" s="63">
        <f t="shared" si="21"/>
        <v>1</v>
      </c>
      <c r="AH205" s="59">
        <f t="shared" si="22"/>
        <v>2</v>
      </c>
      <c r="AI205" s="69">
        <f t="shared" si="23"/>
        <v>0</v>
      </c>
    </row>
    <row r="206" spans="1:42" s="11" customFormat="1" ht="27" customHeight="1" x14ac:dyDescent="0.2">
      <c r="A206" s="7" t="s">
        <v>816</v>
      </c>
      <c r="B206" s="7" t="s">
        <v>817</v>
      </c>
      <c r="C206" s="8" t="s">
        <v>1028</v>
      </c>
      <c r="D206" s="24"/>
      <c r="E206" s="25"/>
      <c r="F206" s="25"/>
      <c r="G206" s="25"/>
      <c r="H206" s="25"/>
      <c r="I206" s="26">
        <f t="shared" si="18"/>
        <v>0</v>
      </c>
      <c r="J206" s="7" t="s">
        <v>816</v>
      </c>
      <c r="K206" s="7" t="s">
        <v>817</v>
      </c>
      <c r="L206" s="7" t="s">
        <v>999</v>
      </c>
      <c r="M206" s="24">
        <v>1</v>
      </c>
      <c r="N206" s="25"/>
      <c r="O206" s="25"/>
      <c r="P206" s="25"/>
      <c r="Q206" s="25"/>
      <c r="R206" s="31">
        <f t="shared" si="19"/>
        <v>1</v>
      </c>
      <c r="S206" s="7" t="s">
        <v>816</v>
      </c>
      <c r="T206" s="7" t="s">
        <v>817</v>
      </c>
      <c r="U206" s="7" t="s">
        <v>849</v>
      </c>
      <c r="V206" s="24"/>
      <c r="W206" s="25"/>
      <c r="X206" s="25"/>
      <c r="Y206" s="25"/>
      <c r="Z206" s="25"/>
      <c r="AA206" s="49">
        <f t="shared" si="20"/>
        <v>0</v>
      </c>
      <c r="AG206" s="63">
        <f t="shared" si="21"/>
        <v>0</v>
      </c>
      <c r="AH206" s="59">
        <f t="shared" si="22"/>
        <v>0</v>
      </c>
      <c r="AI206" s="69">
        <f t="shared" si="23"/>
        <v>0</v>
      </c>
    </row>
    <row r="207" spans="1:42" s="43" customFormat="1" ht="24" x14ac:dyDescent="0.3">
      <c r="A207" s="1"/>
      <c r="B207" s="1"/>
      <c r="C207" s="1" t="s">
        <v>1034</v>
      </c>
      <c r="D207" s="28">
        <f t="shared" ref="D207:G207" si="24">SUM(D2:D206)</f>
        <v>37</v>
      </c>
      <c r="E207" s="41">
        <f t="shared" si="24"/>
        <v>8</v>
      </c>
      <c r="F207" s="41">
        <f t="shared" si="24"/>
        <v>71</v>
      </c>
      <c r="G207" s="41">
        <f t="shared" si="24"/>
        <v>57</v>
      </c>
      <c r="H207" s="41">
        <f>SUM(H2:H206)/2</f>
        <v>18</v>
      </c>
      <c r="I207" s="42">
        <f>SUM(D207:H207)</f>
        <v>191</v>
      </c>
      <c r="J207" s="1"/>
      <c r="K207" s="1"/>
      <c r="L207" s="43" t="s">
        <v>1034</v>
      </c>
      <c r="M207" s="28">
        <f t="shared" ref="M207:P207" si="25">SUM(M2:M206)</f>
        <v>37</v>
      </c>
      <c r="N207" s="41">
        <f t="shared" si="25"/>
        <v>4</v>
      </c>
      <c r="O207" s="41">
        <f t="shared" si="25"/>
        <v>67</v>
      </c>
      <c r="P207" s="41">
        <f t="shared" si="25"/>
        <v>67</v>
      </c>
      <c r="Q207" s="41">
        <f>SUM(Q2:Q206)/2</f>
        <v>43</v>
      </c>
      <c r="R207" s="41">
        <f>SUM(M207:Q207)</f>
        <v>218</v>
      </c>
      <c r="S207" s="1"/>
      <c r="T207" s="1"/>
      <c r="U207" s="43" t="s">
        <v>1034</v>
      </c>
      <c r="V207" s="28">
        <f t="shared" ref="V207:Y207" si="26">SUM(V2:V206)</f>
        <v>38</v>
      </c>
      <c r="W207" s="41">
        <f t="shared" si="26"/>
        <v>11</v>
      </c>
      <c r="X207" s="41">
        <f t="shared" si="26"/>
        <v>114</v>
      </c>
      <c r="Y207" s="41">
        <f t="shared" si="26"/>
        <v>115</v>
      </c>
      <c r="Z207" s="41">
        <f>SUM(Z2:Z206)/2</f>
        <v>18.5</v>
      </c>
      <c r="AA207" s="50">
        <f>SUM(V207:Z207)</f>
        <v>296.5</v>
      </c>
      <c r="AG207" s="64"/>
      <c r="AH207" s="60"/>
      <c r="AI207" s="67"/>
    </row>
    <row r="208" spans="1:42" s="43" customFormat="1" ht="24" x14ac:dyDescent="0.3">
      <c r="A208" s="1"/>
      <c r="B208" s="1"/>
      <c r="C208" s="1" t="s">
        <v>1035</v>
      </c>
      <c r="D208" s="35">
        <f>D207/$I$207</f>
        <v>0.193717277486911</v>
      </c>
      <c r="E208" s="47">
        <f>E207/$I$207</f>
        <v>4.1884816753926704E-2</v>
      </c>
      <c r="F208" s="47">
        <f>F207/$I$207</f>
        <v>0.37172774869109948</v>
      </c>
      <c r="G208" s="47">
        <f>G207/$I$207</f>
        <v>0.29842931937172773</v>
      </c>
      <c r="H208" s="47">
        <f>H207/$I$207</f>
        <v>9.4240837696335081E-2</v>
      </c>
      <c r="I208" s="42"/>
      <c r="J208" s="1"/>
      <c r="K208" s="1"/>
      <c r="L208" s="43" t="s">
        <v>1035</v>
      </c>
      <c r="M208" s="35">
        <f>M207/$R$207</f>
        <v>0.16972477064220184</v>
      </c>
      <c r="N208" s="47">
        <f>N207/$R$207</f>
        <v>1.834862385321101E-2</v>
      </c>
      <c r="O208" s="47">
        <f>O207/$R$207</f>
        <v>0.30733944954128439</v>
      </c>
      <c r="P208" s="47">
        <f>P207/$R$207</f>
        <v>0.30733944954128439</v>
      </c>
      <c r="Q208" s="47">
        <f>Q207/$R$207</f>
        <v>0.19724770642201836</v>
      </c>
      <c r="R208" s="41"/>
      <c r="S208" s="1"/>
      <c r="T208" s="1"/>
      <c r="U208" s="43" t="s">
        <v>1035</v>
      </c>
      <c r="V208" s="35">
        <f>V207/$AA$207</f>
        <v>0.12816188870151771</v>
      </c>
      <c r="W208" s="47">
        <f>W207/$AA$207</f>
        <v>3.7099494097807759E-2</v>
      </c>
      <c r="X208" s="47">
        <f>X207/$AA$207</f>
        <v>0.38448566610455309</v>
      </c>
      <c r="Y208" s="47">
        <f>Y207/$AA$207</f>
        <v>0.38785834738617203</v>
      </c>
      <c r="Z208" s="47">
        <f>Z207/$AA$207</f>
        <v>6.2394603709949412E-2</v>
      </c>
      <c r="AA208" s="50"/>
      <c r="AG208" s="64"/>
      <c r="AH208" s="60"/>
      <c r="AI208" s="67"/>
    </row>
    <row r="209" spans="1:35" s="43" customFormat="1" ht="24" x14ac:dyDescent="0.3">
      <c r="A209" s="1"/>
      <c r="B209" s="1"/>
      <c r="C209" s="1" t="s">
        <v>1036</v>
      </c>
      <c r="D209" s="28">
        <f>I207/205</f>
        <v>0.93170731707317078</v>
      </c>
      <c r="E209" s="41"/>
      <c r="F209" s="41"/>
      <c r="G209" s="41"/>
      <c r="H209" s="41"/>
      <c r="I209" s="42"/>
      <c r="J209" s="1"/>
      <c r="K209" s="1"/>
      <c r="L209" s="43" t="s">
        <v>1036</v>
      </c>
      <c r="M209" s="28">
        <f>R207/205</f>
        <v>1.0634146341463415</v>
      </c>
      <c r="N209" s="41"/>
      <c r="O209" s="41"/>
      <c r="P209" s="41"/>
      <c r="Q209" s="41"/>
      <c r="R209" s="41"/>
      <c r="S209" s="1"/>
      <c r="T209" s="1"/>
      <c r="U209" s="45" t="s">
        <v>1036</v>
      </c>
      <c r="V209" s="46">
        <f>AA207/205</f>
        <v>1.4463414634146341</v>
      </c>
      <c r="W209" s="41"/>
      <c r="X209" s="41"/>
      <c r="Y209" s="41"/>
      <c r="Z209" s="41"/>
      <c r="AA209" s="50"/>
      <c r="AG209" s="64"/>
      <c r="AH209" s="60"/>
      <c r="AI209" s="67"/>
    </row>
    <row r="210" spans="1:35" s="43" customFormat="1" ht="24" x14ac:dyDescent="0.3">
      <c r="A210" s="1"/>
      <c r="B210" s="1"/>
      <c r="C210" s="36" t="s">
        <v>1042</v>
      </c>
      <c r="D210" s="44">
        <f>COUNTIFS(I2:I206,"=0")</f>
        <v>82</v>
      </c>
      <c r="E210" s="41"/>
      <c r="F210" s="41"/>
      <c r="G210" s="41"/>
      <c r="H210" s="41"/>
      <c r="I210" s="42"/>
      <c r="J210" s="1"/>
      <c r="K210" s="1"/>
      <c r="L210" s="36" t="s">
        <v>1042</v>
      </c>
      <c r="M210" s="44">
        <f>COUNTIFS(R2:R206,"=0")</f>
        <v>54</v>
      </c>
      <c r="N210" s="41"/>
      <c r="O210" s="41"/>
      <c r="P210" s="41"/>
      <c r="Q210" s="41"/>
      <c r="R210" s="41"/>
      <c r="S210" s="1"/>
      <c r="T210" s="1"/>
      <c r="U210" s="36" t="s">
        <v>1042</v>
      </c>
      <c r="V210" s="44">
        <f>COUNTIFS(AA2:AA206,"=0")</f>
        <v>35</v>
      </c>
      <c r="W210" s="41"/>
      <c r="X210" s="41"/>
      <c r="Y210" s="41"/>
      <c r="Z210" s="41"/>
      <c r="AA210" s="50"/>
      <c r="AG210" s="64"/>
      <c r="AH210" s="60"/>
      <c r="AI210" s="67"/>
    </row>
    <row r="211" spans="1:35" s="43" customFormat="1" ht="24" x14ac:dyDescent="0.3">
      <c r="A211" s="1"/>
      <c r="B211" s="1"/>
      <c r="C211" s="36" t="s">
        <v>1039</v>
      </c>
      <c r="D211" s="37">
        <f>D210/205</f>
        <v>0.4</v>
      </c>
      <c r="E211" s="41"/>
      <c r="F211" s="41"/>
      <c r="G211" s="41"/>
      <c r="H211" s="41"/>
      <c r="I211" s="42"/>
      <c r="J211" s="1"/>
      <c r="K211" s="1"/>
      <c r="L211" s="36" t="s">
        <v>1039</v>
      </c>
      <c r="M211" s="37">
        <f>M210/205</f>
        <v>0.26341463414634148</v>
      </c>
      <c r="N211" s="41"/>
      <c r="O211" s="41"/>
      <c r="P211" s="41"/>
      <c r="Q211" s="41"/>
      <c r="R211" s="41"/>
      <c r="S211" s="1"/>
      <c r="T211" s="1"/>
      <c r="U211" s="36" t="s">
        <v>1039</v>
      </c>
      <c r="V211" s="37">
        <f>V210/205</f>
        <v>0.17073170731707318</v>
      </c>
      <c r="W211" s="41"/>
      <c r="X211" s="41"/>
      <c r="Y211" s="41"/>
      <c r="Z211" s="41"/>
      <c r="AA211" s="50"/>
      <c r="AG211" s="64"/>
      <c r="AH211" s="60"/>
      <c r="AI211" s="67"/>
    </row>
    <row r="212" spans="1:35" s="43" customFormat="1" ht="24" x14ac:dyDescent="0.3">
      <c r="A212" s="1"/>
      <c r="B212" s="1"/>
      <c r="C212" s="54" t="s">
        <v>1037</v>
      </c>
      <c r="D212" s="56">
        <f>COUNTIFS(I2:I206,"&gt;0", I2:I206,"&lt;=1")</f>
        <v>68</v>
      </c>
      <c r="E212" s="41"/>
      <c r="F212" s="41"/>
      <c r="G212" s="41"/>
      <c r="H212" s="41"/>
      <c r="I212" s="42"/>
      <c r="J212" s="1"/>
      <c r="K212" s="1"/>
      <c r="L212" s="54" t="s">
        <v>1037</v>
      </c>
      <c r="M212" s="56">
        <f>COUNTIFS(R2:R206,"&gt;0", R2:R206,"&lt;=1")</f>
        <v>83</v>
      </c>
      <c r="N212" s="41"/>
      <c r="O212" s="41"/>
      <c r="P212" s="41"/>
      <c r="Q212" s="41"/>
      <c r="R212" s="41"/>
      <c r="S212" s="1"/>
      <c r="T212" s="1"/>
      <c r="U212" s="54" t="s">
        <v>1037</v>
      </c>
      <c r="V212" s="56">
        <f>COUNTIFS(AA2:AA206,"&gt;0", AA2:AA206,"&lt;=1")</f>
        <v>58</v>
      </c>
      <c r="W212" s="41"/>
      <c r="X212" s="41"/>
      <c r="Y212" s="41"/>
      <c r="Z212" s="41"/>
      <c r="AA212" s="50"/>
      <c r="AG212" s="64"/>
      <c r="AH212" s="60"/>
      <c r="AI212" s="67"/>
    </row>
    <row r="213" spans="1:35" s="43" customFormat="1" ht="24" x14ac:dyDescent="0.3">
      <c r="A213" s="1"/>
      <c r="B213" s="1"/>
      <c r="C213" s="54" t="s">
        <v>1040</v>
      </c>
      <c r="D213" s="55">
        <f>D212/205</f>
        <v>0.33170731707317075</v>
      </c>
      <c r="E213" s="41"/>
      <c r="F213" s="41"/>
      <c r="G213" s="41"/>
      <c r="H213" s="41"/>
      <c r="I213" s="42"/>
      <c r="J213" s="1"/>
      <c r="K213" s="1"/>
      <c r="L213" s="54" t="s">
        <v>1040</v>
      </c>
      <c r="M213" s="55">
        <f>M212/205</f>
        <v>0.40487804878048783</v>
      </c>
      <c r="N213" s="41"/>
      <c r="O213" s="41"/>
      <c r="P213" s="41"/>
      <c r="Q213" s="41"/>
      <c r="R213" s="41"/>
      <c r="S213" s="1"/>
      <c r="T213" s="1"/>
      <c r="U213" s="54" t="s">
        <v>1040</v>
      </c>
      <c r="V213" s="55">
        <f>V212/205</f>
        <v>0.28292682926829266</v>
      </c>
      <c r="W213" s="41"/>
      <c r="X213" s="41"/>
      <c r="Y213" s="41"/>
      <c r="Z213" s="41"/>
      <c r="AA213" s="50"/>
      <c r="AG213" s="64"/>
      <c r="AH213" s="60"/>
      <c r="AI213" s="67"/>
    </row>
    <row r="214" spans="1:35" s="43" customFormat="1" ht="24" x14ac:dyDescent="0.3">
      <c r="A214" s="1"/>
      <c r="B214" s="1"/>
      <c r="C214" s="52" t="s">
        <v>1038</v>
      </c>
      <c r="D214" s="57">
        <f>COUNTIFS(I2:I206,"&gt;1")</f>
        <v>55</v>
      </c>
      <c r="E214" s="41"/>
      <c r="F214" s="41"/>
      <c r="G214" s="41"/>
      <c r="H214" s="41"/>
      <c r="I214" s="42"/>
      <c r="J214" s="1"/>
      <c r="K214" s="1"/>
      <c r="L214" s="52" t="s">
        <v>1038</v>
      </c>
      <c r="M214" s="57">
        <f>COUNTIFS(R2:R206,"&gt;1")</f>
        <v>68</v>
      </c>
      <c r="N214" s="41"/>
      <c r="O214" s="41"/>
      <c r="P214" s="41"/>
      <c r="Q214" s="41"/>
      <c r="R214" s="41"/>
      <c r="S214" s="1"/>
      <c r="T214" s="1"/>
      <c r="U214" s="52" t="s">
        <v>1038</v>
      </c>
      <c r="V214" s="57">
        <f>COUNTIFS(AA2:AA206,"&gt;1")</f>
        <v>112</v>
      </c>
      <c r="W214" s="41"/>
      <c r="X214" s="41"/>
      <c r="Y214" s="41"/>
      <c r="Z214" s="41"/>
      <c r="AA214" s="50"/>
      <c r="AG214" s="64"/>
      <c r="AH214" s="60"/>
      <c r="AI214" s="67"/>
    </row>
    <row r="215" spans="1:35" s="43" customFormat="1" ht="24" x14ac:dyDescent="0.3">
      <c r="A215" s="1"/>
      <c r="B215" s="1"/>
      <c r="C215" s="52" t="s">
        <v>1041</v>
      </c>
      <c r="D215" s="53">
        <f>D214/205</f>
        <v>0.26829268292682928</v>
      </c>
      <c r="E215" s="41"/>
      <c r="F215" s="41"/>
      <c r="G215" s="41"/>
      <c r="H215" s="41"/>
      <c r="I215" s="42"/>
      <c r="J215" s="1"/>
      <c r="K215" s="1"/>
      <c r="L215" s="52" t="s">
        <v>1041</v>
      </c>
      <c r="M215" s="53">
        <f>M214/205</f>
        <v>0.33170731707317075</v>
      </c>
      <c r="N215" s="41"/>
      <c r="O215" s="41"/>
      <c r="P215" s="41"/>
      <c r="Q215" s="41"/>
      <c r="R215" s="41"/>
      <c r="S215" s="1"/>
      <c r="T215" s="1"/>
      <c r="U215" s="52" t="s">
        <v>1041</v>
      </c>
      <c r="V215" s="53">
        <f>V214/205</f>
        <v>0.54634146341463419</v>
      </c>
      <c r="W215" s="41"/>
      <c r="X215" s="41"/>
      <c r="Y215" s="41"/>
      <c r="Z215" s="41"/>
      <c r="AA215" s="50"/>
      <c r="AG215" s="64"/>
      <c r="AH215" s="60"/>
      <c r="AI215" s="67"/>
    </row>
  </sheetData>
  <pageMargins left="0.25" right="0.25" top="0.75" bottom="0.75" header="0.3" footer="0.3"/>
  <pageSetup paperSize="9" scale="12" fitToHeight="0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bf049be-375b-4218-9ea9-bd99967241c1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A4717148574CF4B896359AFEF09E565" ma:contentTypeVersion="6" ma:contentTypeDescription="Create a new document." ma:contentTypeScope="" ma:versionID="405824cac825cedb0fa16fa5f9dd709d">
  <xsd:schema xmlns:xsd="http://www.w3.org/2001/XMLSchema" xmlns:xs="http://www.w3.org/2001/XMLSchema" xmlns:p="http://schemas.microsoft.com/office/2006/metadata/properties" xmlns:ns3="7bf049be-375b-4218-9ea9-bd99967241c1" targetNamespace="http://schemas.microsoft.com/office/2006/metadata/properties" ma:root="true" ma:fieldsID="e3a21ced8b1694a3d929761334b05827" ns3:_="">
    <xsd:import namespace="7bf049be-375b-4218-9ea9-bd99967241c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3:MediaServiceSearchPropertie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f049be-375b-4218-9ea9-bd99967241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E899475-2FB6-4412-9AED-C5901C6BC5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D02BC11-B9C0-4E15-97C7-65E6778A3AB1}">
  <ds:schemaRefs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dcmitype/"/>
    <ds:schemaRef ds:uri="http://purl.org/dc/elements/1.1/"/>
    <ds:schemaRef ds:uri="7bf049be-375b-4218-9ea9-bd99967241c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C488F62-A4BA-44BB-9A77-A7F36B25897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bf049be-375b-4218-9ea9-bd99967241c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Overall</vt:lpstr>
      <vt:lpstr>Annotator 1</vt:lpstr>
      <vt:lpstr>Annotator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</dc:creator>
  <cp:lastModifiedBy>Abdullah Alabdullah</cp:lastModifiedBy>
  <cp:lastPrinted>2025-02-07T18:25:26Z</cp:lastPrinted>
  <dcterms:created xsi:type="dcterms:W3CDTF">2015-06-05T18:17:20Z</dcterms:created>
  <dcterms:modified xsi:type="dcterms:W3CDTF">2026-02-07T15:22:51Z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0x0101002A4717148574CF4B896359AFEF09E565</vt:lpwstr>
  </property>
</Properties>
</file>